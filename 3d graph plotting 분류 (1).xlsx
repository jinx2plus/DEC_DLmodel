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TI\Documents\2020 박용진\1. 자료분석\계백로\"/>
    </mc:Choice>
  </mc:AlternateContent>
  <bookViews>
    <workbookView xWindow="0" yWindow="0" windowWidth="14200" windowHeight="3800" activeTab="2"/>
  </bookViews>
  <sheets>
    <sheet name="요일별로" sheetId="1" r:id="rId1"/>
    <sheet name="Sheet2" sheetId="2" r:id="rId2"/>
    <sheet name="Sheet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P8" i="3" l="1"/>
  <c r="BP9" i="3"/>
  <c r="BP10" i="3"/>
  <c r="BP11" i="3"/>
  <c r="BP12" i="3"/>
  <c r="BP13" i="3"/>
  <c r="BP14" i="3"/>
  <c r="BP15" i="3"/>
  <c r="BP16" i="3"/>
  <c r="BP17" i="3"/>
  <c r="BP18" i="3"/>
  <c r="BP19" i="3"/>
  <c r="BP20" i="3"/>
  <c r="BP21" i="3"/>
  <c r="BP22" i="3"/>
  <c r="BP23" i="3"/>
  <c r="BP24" i="3"/>
  <c r="BP25" i="3"/>
  <c r="BP26" i="3"/>
  <c r="BP27" i="3"/>
  <c r="BP28" i="3"/>
  <c r="BP29" i="3"/>
  <c r="BP30" i="3"/>
  <c r="BP31" i="3"/>
  <c r="BP32" i="3"/>
  <c r="BP33" i="3"/>
  <c r="BP34" i="3"/>
  <c r="BP35" i="3"/>
  <c r="BP36" i="3"/>
  <c r="BP37" i="3"/>
  <c r="BP38" i="3"/>
  <c r="BP39" i="3"/>
  <c r="BP40" i="3"/>
  <c r="BP41" i="3"/>
  <c r="BP42" i="3"/>
  <c r="BP43" i="3"/>
  <c r="BP44" i="3"/>
  <c r="BP45" i="3"/>
  <c r="BP46" i="3"/>
  <c r="BP47" i="3"/>
  <c r="BP48" i="3"/>
  <c r="BP49" i="3"/>
  <c r="BP50" i="3"/>
  <c r="BP51" i="3"/>
  <c r="BP52" i="3"/>
  <c r="BP53" i="3"/>
  <c r="BP54" i="3"/>
  <c r="BP55" i="3"/>
  <c r="BP56" i="3"/>
  <c r="BP57" i="3"/>
  <c r="BP58" i="3"/>
  <c r="BP59" i="3"/>
  <c r="BP60" i="3"/>
  <c r="BP61" i="3"/>
  <c r="BP62" i="3"/>
  <c r="BP63" i="3"/>
  <c r="BP64" i="3"/>
  <c r="BP65" i="3"/>
  <c r="BP66" i="3"/>
  <c r="BP67" i="3"/>
  <c r="BP68" i="3"/>
  <c r="BP69" i="3"/>
  <c r="BP70" i="3"/>
  <c r="BP71" i="3"/>
  <c r="BP72" i="3"/>
  <c r="BP73" i="3"/>
  <c r="BP74" i="3"/>
  <c r="BP75" i="3"/>
  <c r="BP76" i="3"/>
  <c r="BP77" i="3"/>
  <c r="BP78" i="3"/>
  <c r="BP79" i="3"/>
  <c r="BP80" i="3"/>
  <c r="BP81" i="3"/>
  <c r="BP82" i="3"/>
  <c r="BP83" i="3"/>
  <c r="BP84" i="3"/>
  <c r="BP85" i="3"/>
  <c r="BP86" i="3"/>
  <c r="BP87" i="3"/>
  <c r="BP88" i="3"/>
  <c r="BP89" i="3"/>
  <c r="BP90" i="3"/>
  <c r="BP91" i="3"/>
  <c r="BP92" i="3"/>
  <c r="BP93" i="3"/>
  <c r="BP94" i="3"/>
  <c r="BP95" i="3"/>
  <c r="BP96" i="3"/>
  <c r="BP97" i="3"/>
  <c r="BP7" i="3"/>
  <c r="E28" i="1" l="1"/>
  <c r="F28" i="1"/>
  <c r="E29" i="1"/>
  <c r="F29" i="1"/>
  <c r="E30" i="1"/>
  <c r="F30" i="1"/>
  <c r="E31" i="1"/>
  <c r="F31" i="1"/>
  <c r="E32" i="1"/>
  <c r="F32" i="1"/>
  <c r="F27" i="1"/>
  <c r="E27" i="1"/>
  <c r="C20" i="1" l="1"/>
  <c r="B20" i="1"/>
  <c r="B21" i="1" s="1"/>
  <c r="B22" i="1" s="1"/>
  <c r="B23" i="1" s="1"/>
  <c r="B24" i="1" s="1"/>
  <c r="G19" i="1"/>
  <c r="G20" i="1" s="1"/>
  <c r="G21" i="1" s="1"/>
  <c r="G22" i="1" s="1"/>
  <c r="G23" i="1" s="1"/>
  <c r="G24" i="1" s="1"/>
  <c r="F19" i="1"/>
  <c r="F20" i="1" s="1"/>
  <c r="F21" i="1" s="1"/>
  <c r="F22" i="1" s="1"/>
  <c r="F23" i="1" s="1"/>
  <c r="F24" i="1" s="1"/>
  <c r="E19" i="1"/>
  <c r="D19" i="1"/>
  <c r="D20" i="1" s="1"/>
  <c r="D21" i="1" s="1"/>
  <c r="D22" i="1" s="1"/>
  <c r="D23" i="1" s="1"/>
  <c r="D24" i="1" s="1"/>
  <c r="C19" i="1"/>
  <c r="B19" i="1"/>
  <c r="C21" i="1"/>
  <c r="C22" i="1" s="1"/>
  <c r="C23" i="1" s="1"/>
  <c r="C24" i="1" s="1"/>
  <c r="E3" i="1"/>
  <c r="E20" i="1" l="1"/>
  <c r="E21" i="1" s="1"/>
  <c r="E22" i="1" s="1"/>
  <c r="E23" i="1" s="1"/>
  <c r="E24" i="1" s="1"/>
  <c r="L6" i="1"/>
  <c r="L7" i="1" s="1"/>
  <c r="L8" i="1" s="1"/>
  <c r="K6" i="1"/>
  <c r="K7" i="1" s="1"/>
  <c r="K8" i="1" s="1"/>
  <c r="L5" i="1"/>
  <c r="K5" i="1"/>
  <c r="J5" i="1"/>
  <c r="J6" i="1" s="1"/>
  <c r="J7" i="1" s="1"/>
  <c r="J8" i="1" s="1"/>
  <c r="I5" i="1"/>
  <c r="I6" i="1" s="1"/>
  <c r="I7" i="1" s="1"/>
  <c r="I8" i="1" s="1"/>
  <c r="N4" i="1"/>
  <c r="N5" i="1" s="1"/>
  <c r="N6" i="1" s="1"/>
  <c r="N7" i="1" s="1"/>
  <c r="N8" i="1" s="1"/>
  <c r="M4" i="1"/>
  <c r="M5" i="1" s="1"/>
  <c r="M6" i="1" s="1"/>
  <c r="M7" i="1" s="1"/>
  <c r="M8" i="1" s="1"/>
  <c r="L4" i="1"/>
  <c r="K4" i="1"/>
  <c r="G4" i="1"/>
  <c r="G5" i="1" s="1"/>
  <c r="G6" i="1" s="1"/>
  <c r="G7" i="1" s="1"/>
  <c r="G8" i="1" s="1"/>
  <c r="F4" i="1"/>
  <c r="F5" i="1" s="1"/>
  <c r="F6" i="1" s="1"/>
  <c r="F7" i="1" s="1"/>
  <c r="F8" i="1" s="1"/>
  <c r="E4" i="1"/>
  <c r="E5" i="1" s="1"/>
  <c r="E6" i="1" s="1"/>
  <c r="E7" i="1" s="1"/>
  <c r="E8" i="1" s="1"/>
  <c r="D4" i="1"/>
  <c r="D5" i="1" s="1"/>
  <c r="D6" i="1" s="1"/>
  <c r="D7" i="1" s="1"/>
  <c r="D8" i="1" s="1"/>
  <c r="C6" i="1"/>
  <c r="C7" i="1" s="1"/>
  <c r="C8" i="1" s="1"/>
  <c r="C5" i="1"/>
  <c r="B6" i="1"/>
  <c r="B7" i="1" s="1"/>
  <c r="B8" i="1" s="1"/>
  <c r="B5" i="1"/>
</calcChain>
</file>

<file path=xl/sharedStrings.xml><?xml version="1.0" encoding="utf-8"?>
<sst xmlns="http://schemas.openxmlformats.org/spreadsheetml/2006/main" count="200" uniqueCount="176">
  <si>
    <t>Input data</t>
    <phoneticPr fontId="1" type="noConversion"/>
  </si>
  <si>
    <t>행</t>
    <phoneticPr fontId="1" type="noConversion"/>
  </si>
  <si>
    <t>열</t>
    <phoneticPr fontId="1" type="noConversion"/>
  </si>
  <si>
    <t>속도</t>
    <phoneticPr fontId="1" type="noConversion"/>
  </si>
  <si>
    <t>교통량</t>
    <phoneticPr fontId="1" type="noConversion"/>
  </si>
  <si>
    <t>밀도</t>
    <phoneticPr fontId="1" type="noConversion"/>
  </si>
  <si>
    <t>#</t>
    <phoneticPr fontId="1" type="noConversion"/>
  </si>
  <si>
    <t>1.06:00~07:00</t>
    <phoneticPr fontId="1" type="noConversion"/>
  </si>
  <si>
    <t>2.06:10~07:10</t>
    <phoneticPr fontId="1" type="noConversion"/>
  </si>
  <si>
    <t>Input data(NB)</t>
    <phoneticPr fontId="1" type="noConversion"/>
  </si>
  <si>
    <t>Input data(SB)</t>
    <phoneticPr fontId="1" type="noConversion"/>
  </si>
  <si>
    <t>#</t>
  </si>
  <si>
    <t>행</t>
  </si>
  <si>
    <t>time</t>
  </si>
  <si>
    <t>speed</t>
  </si>
  <si>
    <t>traffic</t>
  </si>
  <si>
    <t>density</t>
  </si>
  <si>
    <t>600-700</t>
  </si>
  <si>
    <t>610-710</t>
  </si>
  <si>
    <t>620-720</t>
  </si>
  <si>
    <t>630-730</t>
  </si>
  <si>
    <t>640-740</t>
  </si>
  <si>
    <t>650-750</t>
  </si>
  <si>
    <t>700-800</t>
  </si>
  <si>
    <t>710-810</t>
  </si>
  <si>
    <t>720-820</t>
  </si>
  <si>
    <t>730-830</t>
  </si>
  <si>
    <t>740-840</t>
  </si>
  <si>
    <t>750-850</t>
  </si>
  <si>
    <t>800-900</t>
  </si>
  <si>
    <t>810-910</t>
  </si>
  <si>
    <t>820-920</t>
  </si>
  <si>
    <t>830-930</t>
  </si>
  <si>
    <t>840-940</t>
  </si>
  <si>
    <t>850-950</t>
  </si>
  <si>
    <t>900-1000</t>
  </si>
  <si>
    <t>910-1010</t>
  </si>
  <si>
    <t>920-1020</t>
  </si>
  <si>
    <t>930-1030</t>
  </si>
  <si>
    <t>940-1040</t>
  </si>
  <si>
    <t>950-1050</t>
  </si>
  <si>
    <t>1000-1100</t>
  </si>
  <si>
    <t>1010-1110</t>
  </si>
  <si>
    <t>1020-1120</t>
  </si>
  <si>
    <t>1030-1130</t>
  </si>
  <si>
    <t>1040-1140</t>
  </si>
  <si>
    <t>1050-1150</t>
  </si>
  <si>
    <t>1100-1200</t>
  </si>
  <si>
    <t>1110-1210</t>
  </si>
  <si>
    <t>1120-1220</t>
  </si>
  <si>
    <t>1130-1230</t>
  </si>
  <si>
    <t>1140-1240</t>
  </si>
  <si>
    <t>1150-1250</t>
  </si>
  <si>
    <t>1200-1300</t>
  </si>
  <si>
    <t>1210-1310</t>
  </si>
  <si>
    <t>1220-1320</t>
  </si>
  <si>
    <t>1230-1330</t>
  </si>
  <si>
    <t>1240-1340</t>
  </si>
  <si>
    <t>1250-1350</t>
  </si>
  <si>
    <t>1300-1400</t>
  </si>
  <si>
    <t>1310-1410</t>
  </si>
  <si>
    <t>1320-1420</t>
  </si>
  <si>
    <t>1330-1430</t>
  </si>
  <si>
    <t>1340-1440</t>
  </si>
  <si>
    <t>1350-1450</t>
  </si>
  <si>
    <t>1400-1500</t>
  </si>
  <si>
    <t>1410-1510</t>
  </si>
  <si>
    <t>1420-1520</t>
  </si>
  <si>
    <t>1430-1530</t>
  </si>
  <si>
    <t>1440-1540</t>
  </si>
  <si>
    <t>1450-1550</t>
  </si>
  <si>
    <t>1500-1600</t>
  </si>
  <si>
    <t>1510-1610</t>
  </si>
  <si>
    <t>1520-1620</t>
  </si>
  <si>
    <t>1530-1630</t>
  </si>
  <si>
    <t>1540-1640</t>
  </si>
  <si>
    <t>1550-1650</t>
  </si>
  <si>
    <t>1600-1700</t>
  </si>
  <si>
    <t>1610-1710</t>
  </si>
  <si>
    <t>1620-1720</t>
  </si>
  <si>
    <t>1630-1730</t>
  </si>
  <si>
    <t>1640-1740</t>
  </si>
  <si>
    <t>1650-1750</t>
  </si>
  <si>
    <t>1700-1800</t>
  </si>
  <si>
    <t>1710-1810</t>
  </si>
  <si>
    <t>1720-1820</t>
  </si>
  <si>
    <t>1730-1830</t>
  </si>
  <si>
    <t>1740-1840</t>
  </si>
  <si>
    <t>1750-1850</t>
  </si>
  <si>
    <t>1800-1900</t>
  </si>
  <si>
    <t>1810-1910</t>
  </si>
  <si>
    <t>1820-1920</t>
  </si>
  <si>
    <t>1830-1930</t>
  </si>
  <si>
    <t>1840-1940</t>
  </si>
  <si>
    <t>1850-1950</t>
  </si>
  <si>
    <t>1900-2000</t>
  </si>
  <si>
    <t>1910-2010</t>
  </si>
  <si>
    <t>1920-2020</t>
  </si>
  <si>
    <t>1930-2030</t>
  </si>
  <si>
    <t>1940-2040</t>
  </si>
  <si>
    <t>1950-2050</t>
  </si>
  <si>
    <t>2000-2100</t>
  </si>
  <si>
    <t>2010-2110</t>
  </si>
  <si>
    <t>2020-2120</t>
  </si>
  <si>
    <t>2030-2130</t>
  </si>
  <si>
    <t>2040-2140</t>
  </si>
  <si>
    <t>2050-2150</t>
  </si>
  <si>
    <t>2100-2200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</si>
  <si>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</si>
  <si>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</si>
  <si>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</si>
  <si>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</si>
  <si>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</si>
  <si>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</si>
  <si>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</si>
  <si>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</si>
  <si>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</si>
  <si>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</si>
  <si>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</si>
  <si>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</si>
  <si>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</si>
  <si>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</si>
  <si>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</si>
  <si>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</si>
  <si>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</si>
  <si>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</si>
  <si>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</si>
  <si>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</si>
  <si>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</si>
  <si>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</si>
  <si>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</si>
  <si>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</si>
  <si>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</si>
  <si>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</si>
  <si>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</si>
  <si>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</si>
  <si>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</si>
  <si>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</si>
  <si>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</si>
  <si>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</si>
  <si>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</si>
  <si>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</si>
  <si>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</si>
  <si>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</si>
  <si>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</si>
  <si>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</si>
  <si>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</si>
  <si>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</si>
  <si>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</si>
  <si>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</si>
  <si>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</si>
  <si>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</si>
  <si>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X177</t>
  </si>
  <si>
    <t>X178</t>
  </si>
  <si>
    <t>X179</t>
  </si>
  <si>
    <t>X180</t>
  </si>
  <si>
    <t>X181</t>
  </si>
  <si>
    <t>X182</t>
  </si>
  <si>
    <t>Showing 1 to 24 of 96 entries, 66 total columns</t>
  </si>
  <si>
    <t>NB SPEED</t>
    <phoneticPr fontId="1" type="noConversion"/>
  </si>
  <si>
    <t>X183</t>
  </si>
  <si>
    <t>X184</t>
  </si>
  <si>
    <t>X185</t>
  </si>
  <si>
    <t>X186</t>
  </si>
  <si>
    <t>X187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</si>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</sst>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rgb="FFFFFFFF"/>
      <name val="Segoe UI"/>
      <family val="2"/>
    </font>
    <font>
      <sz val="8"/>
      <color theme="1"/>
      <name val="Segoe UI"/>
      <family val="2"/>
    </font>
    <font>
      <sz val="9"/>
      <color rgb="FFFFFFFF"/>
      <name val="Segoe UI"/>
      <family val="2"/>
    </font>
    <font>
      <sz val="9"/>
      <color theme="1"/>
      <name val="Segoe UI"/>
      <family val="2"/>
    </font>
    <font>
      <sz val="9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E5C6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C1F30"/>
      </right>
      <top/>
      <bottom style="medium">
        <color rgb="FF0C1F30"/>
      </bottom>
      <diagonal/>
    </border>
    <border>
      <left/>
      <right/>
      <top style="medium">
        <color rgb="FF0C1F30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2" borderId="2" xfId="0" applyFont="1" applyFill="1" applyBorder="1" applyAlignment="1">
      <alignment horizontal="right" vertical="center"/>
    </xf>
    <xf numFmtId="0" fontId="3" fillId="0" borderId="2" xfId="0" applyFont="1" applyBorder="1">
      <alignment vertical="center"/>
    </xf>
    <xf numFmtId="0" fontId="4" fillId="2" borderId="2" xfId="0" applyFont="1" applyFill="1" applyBorder="1" applyAlignment="1">
      <alignment horizontal="right" vertical="center"/>
    </xf>
    <xf numFmtId="0" fontId="5" fillId="0" borderId="2" xfId="0" applyFont="1" applyBorder="1">
      <alignment vertical="center"/>
    </xf>
    <xf numFmtId="0" fontId="2" fillId="2" borderId="2" xfId="0" applyFont="1" applyFill="1" applyBorder="1" applyAlignment="1">
      <alignment horizontal="left" vertical="center" wrapText="1"/>
    </xf>
    <xf numFmtId="2" fontId="3" fillId="0" borderId="2" xfId="0" applyNumberFormat="1" applyFont="1" applyBorder="1">
      <alignment vertical="center"/>
    </xf>
    <xf numFmtId="0" fontId="4" fillId="2" borderId="2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6" fillId="0" borderId="0" xfId="0" applyFont="1">
      <alignment vertical="center"/>
    </xf>
    <xf numFmtId="20" fontId="5" fillId="0" borderId="2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speed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Sheet2!$B$2:$B$92</c:f>
              <c:strCache>
                <c:ptCount val="91"/>
                <c:pt idx="0">
                  <c:v>600-700</c:v>
                </c:pt>
                <c:pt idx="1">
                  <c:v>610-710</c:v>
                </c:pt>
                <c:pt idx="2">
                  <c:v>620-720</c:v>
                </c:pt>
                <c:pt idx="3">
                  <c:v>630-730</c:v>
                </c:pt>
                <c:pt idx="4">
                  <c:v>640-740</c:v>
                </c:pt>
                <c:pt idx="5">
                  <c:v>650-750</c:v>
                </c:pt>
                <c:pt idx="6">
                  <c:v>700-800</c:v>
                </c:pt>
                <c:pt idx="7">
                  <c:v>710-810</c:v>
                </c:pt>
                <c:pt idx="8">
                  <c:v>720-820</c:v>
                </c:pt>
                <c:pt idx="9">
                  <c:v>730-830</c:v>
                </c:pt>
                <c:pt idx="10">
                  <c:v>740-840</c:v>
                </c:pt>
                <c:pt idx="11">
                  <c:v>750-850</c:v>
                </c:pt>
                <c:pt idx="12">
                  <c:v>800-900</c:v>
                </c:pt>
                <c:pt idx="13">
                  <c:v>810-910</c:v>
                </c:pt>
                <c:pt idx="14">
                  <c:v>820-920</c:v>
                </c:pt>
                <c:pt idx="15">
                  <c:v>830-930</c:v>
                </c:pt>
                <c:pt idx="16">
                  <c:v>840-940</c:v>
                </c:pt>
                <c:pt idx="17">
                  <c:v>850-950</c:v>
                </c:pt>
                <c:pt idx="18">
                  <c:v>900-1000</c:v>
                </c:pt>
                <c:pt idx="19">
                  <c:v>910-1010</c:v>
                </c:pt>
                <c:pt idx="20">
                  <c:v>920-1020</c:v>
                </c:pt>
                <c:pt idx="21">
                  <c:v>930-1030</c:v>
                </c:pt>
                <c:pt idx="22">
                  <c:v>940-1040</c:v>
                </c:pt>
                <c:pt idx="23">
                  <c:v>950-1050</c:v>
                </c:pt>
                <c:pt idx="24">
                  <c:v>1000-1100</c:v>
                </c:pt>
                <c:pt idx="25">
                  <c:v>1010-1110</c:v>
                </c:pt>
                <c:pt idx="26">
                  <c:v>1020-1120</c:v>
                </c:pt>
                <c:pt idx="27">
                  <c:v>1030-1130</c:v>
                </c:pt>
                <c:pt idx="28">
                  <c:v>1040-1140</c:v>
                </c:pt>
                <c:pt idx="29">
                  <c:v>1050-1150</c:v>
                </c:pt>
                <c:pt idx="30">
                  <c:v>1100-1200</c:v>
                </c:pt>
                <c:pt idx="31">
                  <c:v>1110-1210</c:v>
                </c:pt>
                <c:pt idx="32">
                  <c:v>1120-1220</c:v>
                </c:pt>
                <c:pt idx="33">
                  <c:v>1130-1230</c:v>
                </c:pt>
                <c:pt idx="34">
                  <c:v>1140-1240</c:v>
                </c:pt>
                <c:pt idx="35">
                  <c:v>1150-1250</c:v>
                </c:pt>
                <c:pt idx="36">
                  <c:v>1200-1300</c:v>
                </c:pt>
                <c:pt idx="37">
                  <c:v>1210-1310</c:v>
                </c:pt>
                <c:pt idx="38">
                  <c:v>1220-1320</c:v>
                </c:pt>
                <c:pt idx="39">
                  <c:v>1230-1330</c:v>
                </c:pt>
                <c:pt idx="40">
                  <c:v>1240-1340</c:v>
                </c:pt>
                <c:pt idx="41">
                  <c:v>1250-1350</c:v>
                </c:pt>
                <c:pt idx="42">
                  <c:v>1300-1400</c:v>
                </c:pt>
                <c:pt idx="43">
                  <c:v>1310-1410</c:v>
                </c:pt>
                <c:pt idx="44">
                  <c:v>1320-1420</c:v>
                </c:pt>
                <c:pt idx="45">
                  <c:v>1330-1430</c:v>
                </c:pt>
                <c:pt idx="46">
                  <c:v>1340-1440</c:v>
                </c:pt>
                <c:pt idx="47">
                  <c:v>1350-1450</c:v>
                </c:pt>
                <c:pt idx="48">
                  <c:v>1400-1500</c:v>
                </c:pt>
                <c:pt idx="49">
                  <c:v>1410-1510</c:v>
                </c:pt>
                <c:pt idx="50">
                  <c:v>1420-1520</c:v>
                </c:pt>
                <c:pt idx="51">
                  <c:v>1430-1530</c:v>
                </c:pt>
                <c:pt idx="52">
                  <c:v>1440-1540</c:v>
                </c:pt>
                <c:pt idx="53">
                  <c:v>1450-1550</c:v>
                </c:pt>
                <c:pt idx="54">
                  <c:v>1500-1600</c:v>
                </c:pt>
                <c:pt idx="55">
                  <c:v>1510-1610</c:v>
                </c:pt>
                <c:pt idx="56">
                  <c:v>1520-1620</c:v>
                </c:pt>
                <c:pt idx="57">
                  <c:v>1530-1630</c:v>
                </c:pt>
                <c:pt idx="58">
                  <c:v>1540-1640</c:v>
                </c:pt>
                <c:pt idx="59">
                  <c:v>1550-1650</c:v>
                </c:pt>
                <c:pt idx="60">
                  <c:v>1600-1700</c:v>
                </c:pt>
                <c:pt idx="61">
                  <c:v>1610-1710</c:v>
                </c:pt>
                <c:pt idx="62">
                  <c:v>1620-1720</c:v>
                </c:pt>
                <c:pt idx="63">
                  <c:v>1630-1730</c:v>
                </c:pt>
                <c:pt idx="64">
                  <c:v>1640-1740</c:v>
                </c:pt>
                <c:pt idx="65">
                  <c:v>1650-1750</c:v>
                </c:pt>
                <c:pt idx="66">
                  <c:v>1700-1800</c:v>
                </c:pt>
                <c:pt idx="67">
                  <c:v>1710-1810</c:v>
                </c:pt>
                <c:pt idx="68">
                  <c:v>1720-1820</c:v>
                </c:pt>
                <c:pt idx="69">
                  <c:v>1730-1830</c:v>
                </c:pt>
                <c:pt idx="70">
                  <c:v>1740-1840</c:v>
                </c:pt>
                <c:pt idx="71">
                  <c:v>1750-1850</c:v>
                </c:pt>
                <c:pt idx="72">
                  <c:v>1800-1900</c:v>
                </c:pt>
                <c:pt idx="73">
                  <c:v>1810-1910</c:v>
                </c:pt>
                <c:pt idx="74">
                  <c:v>1820-1920</c:v>
                </c:pt>
                <c:pt idx="75">
                  <c:v>1830-1930</c:v>
                </c:pt>
                <c:pt idx="76">
                  <c:v>1840-1940</c:v>
                </c:pt>
                <c:pt idx="77">
                  <c:v>1850-1950</c:v>
                </c:pt>
                <c:pt idx="78">
                  <c:v>1900-2000</c:v>
                </c:pt>
                <c:pt idx="79">
                  <c:v>1910-2010</c:v>
                </c:pt>
                <c:pt idx="80">
                  <c:v>1920-2020</c:v>
                </c:pt>
                <c:pt idx="81">
                  <c:v>1930-2030</c:v>
                </c:pt>
                <c:pt idx="82">
                  <c:v>1940-2040</c:v>
                </c:pt>
                <c:pt idx="83">
                  <c:v>1950-2050</c:v>
                </c:pt>
                <c:pt idx="84">
                  <c:v>2000-2100</c:v>
                </c:pt>
                <c:pt idx="85">
                  <c:v>2010-2110</c:v>
                </c:pt>
                <c:pt idx="86">
                  <c:v>2020-2120</c:v>
                </c:pt>
                <c:pt idx="87">
                  <c:v>2030-2130</c:v>
                </c:pt>
                <c:pt idx="88">
                  <c:v>2040-2140</c:v>
                </c:pt>
                <c:pt idx="89">
                  <c:v>2050-2150</c:v>
                </c:pt>
                <c:pt idx="90">
                  <c:v>2100-2200</c:v>
                </c:pt>
              </c:strCache>
            </c:strRef>
          </c:cat>
          <c:val>
            <c:numRef>
              <c:f>Sheet2!$C$2:$C$92</c:f>
              <c:numCache>
                <c:formatCode>0.00</c:formatCode>
                <c:ptCount val="91"/>
                <c:pt idx="0">
                  <c:v>42.65157</c:v>
                </c:pt>
                <c:pt idx="1">
                  <c:v>42.32432</c:v>
                </c:pt>
                <c:pt idx="2">
                  <c:v>41.999870000000001</c:v>
                </c:pt>
                <c:pt idx="3">
                  <c:v>41.747369999999997</c:v>
                </c:pt>
                <c:pt idx="4">
                  <c:v>41.467829999999999</c:v>
                </c:pt>
                <c:pt idx="5">
                  <c:v>41.236490000000003</c:v>
                </c:pt>
                <c:pt idx="6">
                  <c:v>40.98912</c:v>
                </c:pt>
                <c:pt idx="7">
                  <c:v>40.769170000000003</c:v>
                </c:pt>
                <c:pt idx="8">
                  <c:v>40.56232</c:v>
                </c:pt>
                <c:pt idx="9">
                  <c:v>40.359020000000001</c:v>
                </c:pt>
                <c:pt idx="10">
                  <c:v>40.234119999999997</c:v>
                </c:pt>
                <c:pt idx="11">
                  <c:v>40.175609999999999</c:v>
                </c:pt>
                <c:pt idx="12">
                  <c:v>40.24174</c:v>
                </c:pt>
                <c:pt idx="13">
                  <c:v>40.36891</c:v>
                </c:pt>
                <c:pt idx="14">
                  <c:v>40.553229999999999</c:v>
                </c:pt>
                <c:pt idx="15">
                  <c:v>40.770429999999998</c:v>
                </c:pt>
                <c:pt idx="16">
                  <c:v>41.018459999999997</c:v>
                </c:pt>
                <c:pt idx="17">
                  <c:v>41.24098</c:v>
                </c:pt>
                <c:pt idx="18">
                  <c:v>41.403179999999999</c:v>
                </c:pt>
                <c:pt idx="19">
                  <c:v>41.535200000000003</c:v>
                </c:pt>
                <c:pt idx="20">
                  <c:v>41.619370000000004</c:v>
                </c:pt>
                <c:pt idx="21">
                  <c:v>41.67174</c:v>
                </c:pt>
                <c:pt idx="22">
                  <c:v>41.70917</c:v>
                </c:pt>
                <c:pt idx="23">
                  <c:v>41.733229999999999</c:v>
                </c:pt>
                <c:pt idx="24">
                  <c:v>41.76576</c:v>
                </c:pt>
                <c:pt idx="25">
                  <c:v>41.800879999999999</c:v>
                </c:pt>
                <c:pt idx="26">
                  <c:v>41.872799999999998</c:v>
                </c:pt>
                <c:pt idx="27">
                  <c:v>41.94641</c:v>
                </c:pt>
                <c:pt idx="28">
                  <c:v>41.985399999999998</c:v>
                </c:pt>
                <c:pt idx="29">
                  <c:v>42.037350000000004</c:v>
                </c:pt>
                <c:pt idx="30">
                  <c:v>42.109439999999999</c:v>
                </c:pt>
                <c:pt idx="31">
                  <c:v>42.180129999999998</c:v>
                </c:pt>
                <c:pt idx="32">
                  <c:v>42.228540000000002</c:v>
                </c:pt>
                <c:pt idx="33">
                  <c:v>42.242730000000002</c:v>
                </c:pt>
                <c:pt idx="34">
                  <c:v>42.241540000000001</c:v>
                </c:pt>
                <c:pt idx="35">
                  <c:v>42.226570000000002</c:v>
                </c:pt>
                <c:pt idx="36">
                  <c:v>42.146790000000003</c:v>
                </c:pt>
                <c:pt idx="37">
                  <c:v>42.049849999999999</c:v>
                </c:pt>
                <c:pt idx="38">
                  <c:v>41.956009999999999</c:v>
                </c:pt>
                <c:pt idx="39">
                  <c:v>41.89669</c:v>
                </c:pt>
                <c:pt idx="40">
                  <c:v>41.837699999999998</c:v>
                </c:pt>
                <c:pt idx="41">
                  <c:v>41.78313</c:v>
                </c:pt>
                <c:pt idx="42">
                  <c:v>41.79674</c:v>
                </c:pt>
                <c:pt idx="43">
                  <c:v>41.809139999999999</c:v>
                </c:pt>
                <c:pt idx="44">
                  <c:v>41.799320000000002</c:v>
                </c:pt>
                <c:pt idx="45">
                  <c:v>41.792929999999998</c:v>
                </c:pt>
                <c:pt idx="46">
                  <c:v>41.818460000000002</c:v>
                </c:pt>
                <c:pt idx="47">
                  <c:v>41.849339999999998</c:v>
                </c:pt>
                <c:pt idx="48">
                  <c:v>41.824950000000001</c:v>
                </c:pt>
                <c:pt idx="49">
                  <c:v>41.81644</c:v>
                </c:pt>
                <c:pt idx="50">
                  <c:v>41.842500000000001</c:v>
                </c:pt>
                <c:pt idx="51">
                  <c:v>41.840029999999999</c:v>
                </c:pt>
                <c:pt idx="52">
                  <c:v>41.826210000000003</c:v>
                </c:pt>
                <c:pt idx="53">
                  <c:v>41.793030000000002</c:v>
                </c:pt>
                <c:pt idx="54">
                  <c:v>41.791919999999998</c:v>
                </c:pt>
                <c:pt idx="55">
                  <c:v>41.771970000000003</c:v>
                </c:pt>
                <c:pt idx="56">
                  <c:v>41.72184</c:v>
                </c:pt>
                <c:pt idx="57">
                  <c:v>41.699370000000002</c:v>
                </c:pt>
                <c:pt idx="58">
                  <c:v>41.689019999999999</c:v>
                </c:pt>
                <c:pt idx="59">
                  <c:v>41.695079999999997</c:v>
                </c:pt>
                <c:pt idx="60">
                  <c:v>41.692070000000001</c:v>
                </c:pt>
                <c:pt idx="61">
                  <c:v>41.690480000000001</c:v>
                </c:pt>
                <c:pt idx="62">
                  <c:v>41.711039999999997</c:v>
                </c:pt>
                <c:pt idx="63">
                  <c:v>41.700180000000003</c:v>
                </c:pt>
                <c:pt idx="64">
                  <c:v>41.673839999999998</c:v>
                </c:pt>
                <c:pt idx="65">
                  <c:v>41.628129999999999</c:v>
                </c:pt>
                <c:pt idx="66">
                  <c:v>41.557200000000002</c:v>
                </c:pt>
                <c:pt idx="67">
                  <c:v>41.474139999999998</c:v>
                </c:pt>
                <c:pt idx="68">
                  <c:v>41.400100000000002</c:v>
                </c:pt>
                <c:pt idx="69">
                  <c:v>41.384650000000001</c:v>
                </c:pt>
                <c:pt idx="70">
                  <c:v>41.37576</c:v>
                </c:pt>
                <c:pt idx="71">
                  <c:v>41.409849999999999</c:v>
                </c:pt>
                <c:pt idx="72">
                  <c:v>41.510100000000001</c:v>
                </c:pt>
                <c:pt idx="73">
                  <c:v>41.688609999999997</c:v>
                </c:pt>
                <c:pt idx="74">
                  <c:v>41.844799999999999</c:v>
                </c:pt>
                <c:pt idx="75">
                  <c:v>41.992800000000003</c:v>
                </c:pt>
                <c:pt idx="76">
                  <c:v>42.146459999999998</c:v>
                </c:pt>
                <c:pt idx="77">
                  <c:v>42.309289999999997</c:v>
                </c:pt>
                <c:pt idx="78">
                  <c:v>42.444749999999999</c:v>
                </c:pt>
                <c:pt idx="79">
                  <c:v>42.561839999999997</c:v>
                </c:pt>
                <c:pt idx="80">
                  <c:v>42.707749999999997</c:v>
                </c:pt>
                <c:pt idx="81">
                  <c:v>42.77975</c:v>
                </c:pt>
                <c:pt idx="82">
                  <c:v>42.847020000000001</c:v>
                </c:pt>
                <c:pt idx="83">
                  <c:v>42.865079999999999</c:v>
                </c:pt>
                <c:pt idx="84">
                  <c:v>42.890279999999997</c:v>
                </c:pt>
                <c:pt idx="85">
                  <c:v>42.851089999999999</c:v>
                </c:pt>
                <c:pt idx="86">
                  <c:v>42.24427</c:v>
                </c:pt>
                <c:pt idx="87">
                  <c:v>41.163159999999998</c:v>
                </c:pt>
                <c:pt idx="88">
                  <c:v>39.548360000000002</c:v>
                </c:pt>
                <c:pt idx="89">
                  <c:v>37.417270000000002</c:v>
                </c:pt>
                <c:pt idx="90">
                  <c:v>34.72298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87-496F-8CC1-08E364791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9307056"/>
        <c:axId val="879304560"/>
      </c:lineChart>
      <c:catAx>
        <c:axId val="87930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9304560"/>
        <c:crosses val="autoZero"/>
        <c:auto val="1"/>
        <c:lblAlgn val="ctr"/>
        <c:lblOffset val="100"/>
        <c:noMultiLvlLbl val="0"/>
      </c:catAx>
      <c:valAx>
        <c:axId val="87930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930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speed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Sheet2!$B$2:$B$92</c:f>
              <c:strCache>
                <c:ptCount val="91"/>
                <c:pt idx="0">
                  <c:v>600-700</c:v>
                </c:pt>
                <c:pt idx="1">
                  <c:v>610-710</c:v>
                </c:pt>
                <c:pt idx="2">
                  <c:v>620-720</c:v>
                </c:pt>
                <c:pt idx="3">
                  <c:v>630-730</c:v>
                </c:pt>
                <c:pt idx="4">
                  <c:v>640-740</c:v>
                </c:pt>
                <c:pt idx="5">
                  <c:v>650-750</c:v>
                </c:pt>
                <c:pt idx="6">
                  <c:v>700-800</c:v>
                </c:pt>
                <c:pt idx="7">
                  <c:v>710-810</c:v>
                </c:pt>
                <c:pt idx="8">
                  <c:v>720-820</c:v>
                </c:pt>
                <c:pt idx="9">
                  <c:v>730-830</c:v>
                </c:pt>
                <c:pt idx="10">
                  <c:v>740-840</c:v>
                </c:pt>
                <c:pt idx="11">
                  <c:v>750-850</c:v>
                </c:pt>
                <c:pt idx="12">
                  <c:v>800-900</c:v>
                </c:pt>
                <c:pt idx="13">
                  <c:v>810-910</c:v>
                </c:pt>
                <c:pt idx="14">
                  <c:v>820-920</c:v>
                </c:pt>
                <c:pt idx="15">
                  <c:v>830-930</c:v>
                </c:pt>
                <c:pt idx="16">
                  <c:v>840-940</c:v>
                </c:pt>
                <c:pt idx="17">
                  <c:v>850-950</c:v>
                </c:pt>
                <c:pt idx="18">
                  <c:v>900-1000</c:v>
                </c:pt>
                <c:pt idx="19">
                  <c:v>910-1010</c:v>
                </c:pt>
                <c:pt idx="20">
                  <c:v>920-1020</c:v>
                </c:pt>
                <c:pt idx="21">
                  <c:v>930-1030</c:v>
                </c:pt>
                <c:pt idx="22">
                  <c:v>940-1040</c:v>
                </c:pt>
                <c:pt idx="23">
                  <c:v>950-1050</c:v>
                </c:pt>
                <c:pt idx="24">
                  <c:v>1000-1100</c:v>
                </c:pt>
                <c:pt idx="25">
                  <c:v>1010-1110</c:v>
                </c:pt>
                <c:pt idx="26">
                  <c:v>1020-1120</c:v>
                </c:pt>
                <c:pt idx="27">
                  <c:v>1030-1130</c:v>
                </c:pt>
                <c:pt idx="28">
                  <c:v>1040-1140</c:v>
                </c:pt>
                <c:pt idx="29">
                  <c:v>1050-1150</c:v>
                </c:pt>
                <c:pt idx="30">
                  <c:v>1100-1200</c:v>
                </c:pt>
                <c:pt idx="31">
                  <c:v>1110-1210</c:v>
                </c:pt>
                <c:pt idx="32">
                  <c:v>1120-1220</c:v>
                </c:pt>
                <c:pt idx="33">
                  <c:v>1130-1230</c:v>
                </c:pt>
                <c:pt idx="34">
                  <c:v>1140-1240</c:v>
                </c:pt>
                <c:pt idx="35">
                  <c:v>1150-1250</c:v>
                </c:pt>
                <c:pt idx="36">
                  <c:v>1200-1300</c:v>
                </c:pt>
                <c:pt idx="37">
                  <c:v>1210-1310</c:v>
                </c:pt>
                <c:pt idx="38">
                  <c:v>1220-1320</c:v>
                </c:pt>
                <c:pt idx="39">
                  <c:v>1230-1330</c:v>
                </c:pt>
                <c:pt idx="40">
                  <c:v>1240-1340</c:v>
                </c:pt>
                <c:pt idx="41">
                  <c:v>1250-1350</c:v>
                </c:pt>
                <c:pt idx="42">
                  <c:v>1300-1400</c:v>
                </c:pt>
                <c:pt idx="43">
                  <c:v>1310-1410</c:v>
                </c:pt>
                <c:pt idx="44">
                  <c:v>1320-1420</c:v>
                </c:pt>
                <c:pt idx="45">
                  <c:v>1330-1430</c:v>
                </c:pt>
                <c:pt idx="46">
                  <c:v>1340-1440</c:v>
                </c:pt>
                <c:pt idx="47">
                  <c:v>1350-1450</c:v>
                </c:pt>
                <c:pt idx="48">
                  <c:v>1400-1500</c:v>
                </c:pt>
                <c:pt idx="49">
                  <c:v>1410-1510</c:v>
                </c:pt>
                <c:pt idx="50">
                  <c:v>1420-1520</c:v>
                </c:pt>
                <c:pt idx="51">
                  <c:v>1430-1530</c:v>
                </c:pt>
                <c:pt idx="52">
                  <c:v>1440-1540</c:v>
                </c:pt>
                <c:pt idx="53">
                  <c:v>1450-1550</c:v>
                </c:pt>
                <c:pt idx="54">
                  <c:v>1500-1600</c:v>
                </c:pt>
                <c:pt idx="55">
                  <c:v>1510-1610</c:v>
                </c:pt>
                <c:pt idx="56">
                  <c:v>1520-1620</c:v>
                </c:pt>
                <c:pt idx="57">
                  <c:v>1530-1630</c:v>
                </c:pt>
                <c:pt idx="58">
                  <c:v>1540-1640</c:v>
                </c:pt>
                <c:pt idx="59">
                  <c:v>1550-1650</c:v>
                </c:pt>
                <c:pt idx="60">
                  <c:v>1600-1700</c:v>
                </c:pt>
                <c:pt idx="61">
                  <c:v>1610-1710</c:v>
                </c:pt>
                <c:pt idx="62">
                  <c:v>1620-1720</c:v>
                </c:pt>
                <c:pt idx="63">
                  <c:v>1630-1730</c:v>
                </c:pt>
                <c:pt idx="64">
                  <c:v>1640-1740</c:v>
                </c:pt>
                <c:pt idx="65">
                  <c:v>1650-1750</c:v>
                </c:pt>
                <c:pt idx="66">
                  <c:v>1700-1800</c:v>
                </c:pt>
                <c:pt idx="67">
                  <c:v>1710-1810</c:v>
                </c:pt>
                <c:pt idx="68">
                  <c:v>1720-1820</c:v>
                </c:pt>
                <c:pt idx="69">
                  <c:v>1730-1830</c:v>
                </c:pt>
                <c:pt idx="70">
                  <c:v>1740-1840</c:v>
                </c:pt>
                <c:pt idx="71">
                  <c:v>1750-1850</c:v>
                </c:pt>
                <c:pt idx="72">
                  <c:v>1800-1900</c:v>
                </c:pt>
                <c:pt idx="73">
                  <c:v>1810-1910</c:v>
                </c:pt>
                <c:pt idx="74">
                  <c:v>1820-1920</c:v>
                </c:pt>
                <c:pt idx="75">
                  <c:v>1830-1930</c:v>
                </c:pt>
                <c:pt idx="76">
                  <c:v>1840-1940</c:v>
                </c:pt>
                <c:pt idx="77">
                  <c:v>1850-1950</c:v>
                </c:pt>
                <c:pt idx="78">
                  <c:v>1900-2000</c:v>
                </c:pt>
                <c:pt idx="79">
                  <c:v>1910-2010</c:v>
                </c:pt>
                <c:pt idx="80">
                  <c:v>1920-2020</c:v>
                </c:pt>
                <c:pt idx="81">
                  <c:v>1930-2030</c:v>
                </c:pt>
                <c:pt idx="82">
                  <c:v>1940-2040</c:v>
                </c:pt>
                <c:pt idx="83">
                  <c:v>1950-2050</c:v>
                </c:pt>
                <c:pt idx="84">
                  <c:v>2000-2100</c:v>
                </c:pt>
                <c:pt idx="85">
                  <c:v>2010-2110</c:v>
                </c:pt>
                <c:pt idx="86">
                  <c:v>2020-2120</c:v>
                </c:pt>
                <c:pt idx="87">
                  <c:v>2030-2130</c:v>
                </c:pt>
                <c:pt idx="88">
                  <c:v>2040-2140</c:v>
                </c:pt>
                <c:pt idx="89">
                  <c:v>2050-2150</c:v>
                </c:pt>
                <c:pt idx="90">
                  <c:v>2100-2200</c:v>
                </c:pt>
              </c:strCache>
            </c:strRef>
          </c:cat>
          <c:val>
            <c:numRef>
              <c:f>Sheet2!$C$2:$C$92</c:f>
              <c:numCache>
                <c:formatCode>0.00</c:formatCode>
                <c:ptCount val="91"/>
                <c:pt idx="0">
                  <c:v>42.65157</c:v>
                </c:pt>
                <c:pt idx="1">
                  <c:v>42.32432</c:v>
                </c:pt>
                <c:pt idx="2">
                  <c:v>41.999870000000001</c:v>
                </c:pt>
                <c:pt idx="3">
                  <c:v>41.747369999999997</c:v>
                </c:pt>
                <c:pt idx="4">
                  <c:v>41.467829999999999</c:v>
                </c:pt>
                <c:pt idx="5">
                  <c:v>41.236490000000003</c:v>
                </c:pt>
                <c:pt idx="6">
                  <c:v>40.98912</c:v>
                </c:pt>
                <c:pt idx="7">
                  <c:v>40.769170000000003</c:v>
                </c:pt>
                <c:pt idx="8">
                  <c:v>40.56232</c:v>
                </c:pt>
                <c:pt idx="9">
                  <c:v>40.359020000000001</c:v>
                </c:pt>
                <c:pt idx="10">
                  <c:v>40.234119999999997</c:v>
                </c:pt>
                <c:pt idx="11">
                  <c:v>40.175609999999999</c:v>
                </c:pt>
                <c:pt idx="12">
                  <c:v>40.24174</c:v>
                </c:pt>
                <c:pt idx="13">
                  <c:v>40.36891</c:v>
                </c:pt>
                <c:pt idx="14">
                  <c:v>40.553229999999999</c:v>
                </c:pt>
                <c:pt idx="15">
                  <c:v>40.770429999999998</c:v>
                </c:pt>
                <c:pt idx="16">
                  <c:v>41.018459999999997</c:v>
                </c:pt>
                <c:pt idx="17">
                  <c:v>41.24098</c:v>
                </c:pt>
                <c:pt idx="18">
                  <c:v>41.403179999999999</c:v>
                </c:pt>
                <c:pt idx="19">
                  <c:v>41.535200000000003</c:v>
                </c:pt>
                <c:pt idx="20">
                  <c:v>41.619370000000004</c:v>
                </c:pt>
                <c:pt idx="21">
                  <c:v>41.67174</c:v>
                </c:pt>
                <c:pt idx="22">
                  <c:v>41.70917</c:v>
                </c:pt>
                <c:pt idx="23">
                  <c:v>41.733229999999999</c:v>
                </c:pt>
                <c:pt idx="24">
                  <c:v>41.76576</c:v>
                </c:pt>
                <c:pt idx="25">
                  <c:v>41.800879999999999</c:v>
                </c:pt>
                <c:pt idx="26">
                  <c:v>41.872799999999998</c:v>
                </c:pt>
                <c:pt idx="27">
                  <c:v>41.94641</c:v>
                </c:pt>
                <c:pt idx="28">
                  <c:v>41.985399999999998</c:v>
                </c:pt>
                <c:pt idx="29">
                  <c:v>42.037350000000004</c:v>
                </c:pt>
                <c:pt idx="30">
                  <c:v>42.109439999999999</c:v>
                </c:pt>
                <c:pt idx="31">
                  <c:v>42.180129999999998</c:v>
                </c:pt>
                <c:pt idx="32">
                  <c:v>42.228540000000002</c:v>
                </c:pt>
                <c:pt idx="33">
                  <c:v>42.242730000000002</c:v>
                </c:pt>
                <c:pt idx="34">
                  <c:v>42.241540000000001</c:v>
                </c:pt>
                <c:pt idx="35">
                  <c:v>42.226570000000002</c:v>
                </c:pt>
                <c:pt idx="36">
                  <c:v>42.146790000000003</c:v>
                </c:pt>
                <c:pt idx="37">
                  <c:v>42.049849999999999</c:v>
                </c:pt>
                <c:pt idx="38">
                  <c:v>41.956009999999999</c:v>
                </c:pt>
                <c:pt idx="39">
                  <c:v>41.89669</c:v>
                </c:pt>
                <c:pt idx="40">
                  <c:v>41.837699999999998</c:v>
                </c:pt>
                <c:pt idx="41">
                  <c:v>41.78313</c:v>
                </c:pt>
                <c:pt idx="42">
                  <c:v>41.79674</c:v>
                </c:pt>
                <c:pt idx="43">
                  <c:v>41.809139999999999</c:v>
                </c:pt>
                <c:pt idx="44">
                  <c:v>41.799320000000002</c:v>
                </c:pt>
                <c:pt idx="45">
                  <c:v>41.792929999999998</c:v>
                </c:pt>
                <c:pt idx="46">
                  <c:v>41.818460000000002</c:v>
                </c:pt>
                <c:pt idx="47">
                  <c:v>41.849339999999998</c:v>
                </c:pt>
                <c:pt idx="48">
                  <c:v>41.824950000000001</c:v>
                </c:pt>
                <c:pt idx="49">
                  <c:v>41.81644</c:v>
                </c:pt>
                <c:pt idx="50">
                  <c:v>41.842500000000001</c:v>
                </c:pt>
                <c:pt idx="51">
                  <c:v>41.840029999999999</c:v>
                </c:pt>
                <c:pt idx="52">
                  <c:v>41.826210000000003</c:v>
                </c:pt>
                <c:pt idx="53">
                  <c:v>41.793030000000002</c:v>
                </c:pt>
                <c:pt idx="54">
                  <c:v>41.791919999999998</c:v>
                </c:pt>
                <c:pt idx="55">
                  <c:v>41.771970000000003</c:v>
                </c:pt>
                <c:pt idx="56">
                  <c:v>41.72184</c:v>
                </c:pt>
                <c:pt idx="57">
                  <c:v>41.699370000000002</c:v>
                </c:pt>
                <c:pt idx="58">
                  <c:v>41.689019999999999</c:v>
                </c:pt>
                <c:pt idx="59">
                  <c:v>41.695079999999997</c:v>
                </c:pt>
                <c:pt idx="60">
                  <c:v>41.692070000000001</c:v>
                </c:pt>
                <c:pt idx="61">
                  <c:v>41.690480000000001</c:v>
                </c:pt>
                <c:pt idx="62">
                  <c:v>41.711039999999997</c:v>
                </c:pt>
                <c:pt idx="63">
                  <c:v>41.700180000000003</c:v>
                </c:pt>
                <c:pt idx="64">
                  <c:v>41.673839999999998</c:v>
                </c:pt>
                <c:pt idx="65">
                  <c:v>41.628129999999999</c:v>
                </c:pt>
                <c:pt idx="66">
                  <c:v>41.557200000000002</c:v>
                </c:pt>
                <c:pt idx="67">
                  <c:v>41.474139999999998</c:v>
                </c:pt>
                <c:pt idx="68">
                  <c:v>41.400100000000002</c:v>
                </c:pt>
                <c:pt idx="69">
                  <c:v>41.384650000000001</c:v>
                </c:pt>
                <c:pt idx="70">
                  <c:v>41.37576</c:v>
                </c:pt>
                <c:pt idx="71">
                  <c:v>41.409849999999999</c:v>
                </c:pt>
                <c:pt idx="72">
                  <c:v>41.510100000000001</c:v>
                </c:pt>
                <c:pt idx="73">
                  <c:v>41.688609999999997</c:v>
                </c:pt>
                <c:pt idx="74">
                  <c:v>41.844799999999999</c:v>
                </c:pt>
                <c:pt idx="75">
                  <c:v>41.992800000000003</c:v>
                </c:pt>
                <c:pt idx="76">
                  <c:v>42.146459999999998</c:v>
                </c:pt>
                <c:pt idx="77">
                  <c:v>42.309289999999997</c:v>
                </c:pt>
                <c:pt idx="78">
                  <c:v>42.444749999999999</c:v>
                </c:pt>
                <c:pt idx="79">
                  <c:v>42.561839999999997</c:v>
                </c:pt>
                <c:pt idx="80">
                  <c:v>42.707749999999997</c:v>
                </c:pt>
                <c:pt idx="81">
                  <c:v>42.77975</c:v>
                </c:pt>
                <c:pt idx="82">
                  <c:v>42.847020000000001</c:v>
                </c:pt>
                <c:pt idx="83">
                  <c:v>42.865079999999999</c:v>
                </c:pt>
                <c:pt idx="84">
                  <c:v>42.890279999999997</c:v>
                </c:pt>
                <c:pt idx="85">
                  <c:v>42.851089999999999</c:v>
                </c:pt>
                <c:pt idx="86">
                  <c:v>42.24427</c:v>
                </c:pt>
                <c:pt idx="87">
                  <c:v>41.163159999999998</c:v>
                </c:pt>
                <c:pt idx="88">
                  <c:v>39.548360000000002</c:v>
                </c:pt>
                <c:pt idx="89">
                  <c:v>37.417270000000002</c:v>
                </c:pt>
                <c:pt idx="90">
                  <c:v>34.72298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6F-472F-8FC2-1ACCF51B2CD8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traffic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Sheet2!$B$2:$B$92</c:f>
              <c:strCache>
                <c:ptCount val="91"/>
                <c:pt idx="0">
                  <c:v>600-700</c:v>
                </c:pt>
                <c:pt idx="1">
                  <c:v>610-710</c:v>
                </c:pt>
                <c:pt idx="2">
                  <c:v>620-720</c:v>
                </c:pt>
                <c:pt idx="3">
                  <c:v>630-730</c:v>
                </c:pt>
                <c:pt idx="4">
                  <c:v>640-740</c:v>
                </c:pt>
                <c:pt idx="5">
                  <c:v>650-750</c:v>
                </c:pt>
                <c:pt idx="6">
                  <c:v>700-800</c:v>
                </c:pt>
                <c:pt idx="7">
                  <c:v>710-810</c:v>
                </c:pt>
                <c:pt idx="8">
                  <c:v>720-820</c:v>
                </c:pt>
                <c:pt idx="9">
                  <c:v>730-830</c:v>
                </c:pt>
                <c:pt idx="10">
                  <c:v>740-840</c:v>
                </c:pt>
                <c:pt idx="11">
                  <c:v>750-850</c:v>
                </c:pt>
                <c:pt idx="12">
                  <c:v>800-900</c:v>
                </c:pt>
                <c:pt idx="13">
                  <c:v>810-910</c:v>
                </c:pt>
                <c:pt idx="14">
                  <c:v>820-920</c:v>
                </c:pt>
                <c:pt idx="15">
                  <c:v>830-930</c:v>
                </c:pt>
                <c:pt idx="16">
                  <c:v>840-940</c:v>
                </c:pt>
                <c:pt idx="17">
                  <c:v>850-950</c:v>
                </c:pt>
                <c:pt idx="18">
                  <c:v>900-1000</c:v>
                </c:pt>
                <c:pt idx="19">
                  <c:v>910-1010</c:v>
                </c:pt>
                <c:pt idx="20">
                  <c:v>920-1020</c:v>
                </c:pt>
                <c:pt idx="21">
                  <c:v>930-1030</c:v>
                </c:pt>
                <c:pt idx="22">
                  <c:v>940-1040</c:v>
                </c:pt>
                <c:pt idx="23">
                  <c:v>950-1050</c:v>
                </c:pt>
                <c:pt idx="24">
                  <c:v>1000-1100</c:v>
                </c:pt>
                <c:pt idx="25">
                  <c:v>1010-1110</c:v>
                </c:pt>
                <c:pt idx="26">
                  <c:v>1020-1120</c:v>
                </c:pt>
                <c:pt idx="27">
                  <c:v>1030-1130</c:v>
                </c:pt>
                <c:pt idx="28">
                  <c:v>1040-1140</c:v>
                </c:pt>
                <c:pt idx="29">
                  <c:v>1050-1150</c:v>
                </c:pt>
                <c:pt idx="30">
                  <c:v>1100-1200</c:v>
                </c:pt>
                <c:pt idx="31">
                  <c:v>1110-1210</c:v>
                </c:pt>
                <c:pt idx="32">
                  <c:v>1120-1220</c:v>
                </c:pt>
                <c:pt idx="33">
                  <c:v>1130-1230</c:v>
                </c:pt>
                <c:pt idx="34">
                  <c:v>1140-1240</c:v>
                </c:pt>
                <c:pt idx="35">
                  <c:v>1150-1250</c:v>
                </c:pt>
                <c:pt idx="36">
                  <c:v>1200-1300</c:v>
                </c:pt>
                <c:pt idx="37">
                  <c:v>1210-1310</c:v>
                </c:pt>
                <c:pt idx="38">
                  <c:v>1220-1320</c:v>
                </c:pt>
                <c:pt idx="39">
                  <c:v>1230-1330</c:v>
                </c:pt>
                <c:pt idx="40">
                  <c:v>1240-1340</c:v>
                </c:pt>
                <c:pt idx="41">
                  <c:v>1250-1350</c:v>
                </c:pt>
                <c:pt idx="42">
                  <c:v>1300-1400</c:v>
                </c:pt>
                <c:pt idx="43">
                  <c:v>1310-1410</c:v>
                </c:pt>
                <c:pt idx="44">
                  <c:v>1320-1420</c:v>
                </c:pt>
                <c:pt idx="45">
                  <c:v>1330-1430</c:v>
                </c:pt>
                <c:pt idx="46">
                  <c:v>1340-1440</c:v>
                </c:pt>
                <c:pt idx="47">
                  <c:v>1350-1450</c:v>
                </c:pt>
                <c:pt idx="48">
                  <c:v>1400-1500</c:v>
                </c:pt>
                <c:pt idx="49">
                  <c:v>1410-1510</c:v>
                </c:pt>
                <c:pt idx="50">
                  <c:v>1420-1520</c:v>
                </c:pt>
                <c:pt idx="51">
                  <c:v>1430-1530</c:v>
                </c:pt>
                <c:pt idx="52">
                  <c:v>1440-1540</c:v>
                </c:pt>
                <c:pt idx="53">
                  <c:v>1450-1550</c:v>
                </c:pt>
                <c:pt idx="54">
                  <c:v>1500-1600</c:v>
                </c:pt>
                <c:pt idx="55">
                  <c:v>1510-1610</c:v>
                </c:pt>
                <c:pt idx="56">
                  <c:v>1520-1620</c:v>
                </c:pt>
                <c:pt idx="57">
                  <c:v>1530-1630</c:v>
                </c:pt>
                <c:pt idx="58">
                  <c:v>1540-1640</c:v>
                </c:pt>
                <c:pt idx="59">
                  <c:v>1550-1650</c:v>
                </c:pt>
                <c:pt idx="60">
                  <c:v>1600-1700</c:v>
                </c:pt>
                <c:pt idx="61">
                  <c:v>1610-1710</c:v>
                </c:pt>
                <c:pt idx="62">
                  <c:v>1620-1720</c:v>
                </c:pt>
                <c:pt idx="63">
                  <c:v>1630-1730</c:v>
                </c:pt>
                <c:pt idx="64">
                  <c:v>1640-1740</c:v>
                </c:pt>
                <c:pt idx="65">
                  <c:v>1650-1750</c:v>
                </c:pt>
                <c:pt idx="66">
                  <c:v>1700-1800</c:v>
                </c:pt>
                <c:pt idx="67">
                  <c:v>1710-1810</c:v>
                </c:pt>
                <c:pt idx="68">
                  <c:v>1720-1820</c:v>
                </c:pt>
                <c:pt idx="69">
                  <c:v>1730-1830</c:v>
                </c:pt>
                <c:pt idx="70">
                  <c:v>1740-1840</c:v>
                </c:pt>
                <c:pt idx="71">
                  <c:v>1750-1850</c:v>
                </c:pt>
                <c:pt idx="72">
                  <c:v>1800-1900</c:v>
                </c:pt>
                <c:pt idx="73">
                  <c:v>1810-1910</c:v>
                </c:pt>
                <c:pt idx="74">
                  <c:v>1820-1920</c:v>
                </c:pt>
                <c:pt idx="75">
                  <c:v>1830-1930</c:v>
                </c:pt>
                <c:pt idx="76">
                  <c:v>1840-1940</c:v>
                </c:pt>
                <c:pt idx="77">
                  <c:v>1850-1950</c:v>
                </c:pt>
                <c:pt idx="78">
                  <c:v>1900-2000</c:v>
                </c:pt>
                <c:pt idx="79">
                  <c:v>1910-2010</c:v>
                </c:pt>
                <c:pt idx="80">
                  <c:v>1920-2020</c:v>
                </c:pt>
                <c:pt idx="81">
                  <c:v>1930-2030</c:v>
                </c:pt>
                <c:pt idx="82">
                  <c:v>1940-2040</c:v>
                </c:pt>
                <c:pt idx="83">
                  <c:v>1950-2050</c:v>
                </c:pt>
                <c:pt idx="84">
                  <c:v>2000-2100</c:v>
                </c:pt>
                <c:pt idx="85">
                  <c:v>2010-2110</c:v>
                </c:pt>
                <c:pt idx="86">
                  <c:v>2020-2120</c:v>
                </c:pt>
                <c:pt idx="87">
                  <c:v>2030-2130</c:v>
                </c:pt>
                <c:pt idx="88">
                  <c:v>2040-2140</c:v>
                </c:pt>
                <c:pt idx="89">
                  <c:v>2050-2150</c:v>
                </c:pt>
                <c:pt idx="90">
                  <c:v>2100-2200</c:v>
                </c:pt>
              </c:strCache>
            </c:strRef>
          </c:cat>
          <c:val>
            <c:numRef>
              <c:f>Sheet2!$D$2:$D$92</c:f>
              <c:numCache>
                <c:formatCode>0.00</c:formatCode>
                <c:ptCount val="91"/>
                <c:pt idx="0">
                  <c:v>104.5076</c:v>
                </c:pt>
                <c:pt idx="1">
                  <c:v>120.71720000000001</c:v>
                </c:pt>
                <c:pt idx="2">
                  <c:v>138.697</c:v>
                </c:pt>
                <c:pt idx="3">
                  <c:v>158.0581</c:v>
                </c:pt>
                <c:pt idx="4">
                  <c:v>178.8561</c:v>
                </c:pt>
                <c:pt idx="5">
                  <c:v>201.76769999999999</c:v>
                </c:pt>
                <c:pt idx="6">
                  <c:v>227.16159999999999</c:v>
                </c:pt>
                <c:pt idx="7">
                  <c:v>254.42169999999999</c:v>
                </c:pt>
                <c:pt idx="8">
                  <c:v>279.351</c:v>
                </c:pt>
                <c:pt idx="9">
                  <c:v>300.548</c:v>
                </c:pt>
                <c:pt idx="10">
                  <c:v>317.69189999999998</c:v>
                </c:pt>
                <c:pt idx="11">
                  <c:v>330.0455</c:v>
                </c:pt>
                <c:pt idx="12">
                  <c:v>335.40910000000002</c:v>
                </c:pt>
                <c:pt idx="13">
                  <c:v>336.32580000000002</c:v>
                </c:pt>
                <c:pt idx="14">
                  <c:v>335.03280000000001</c:v>
                </c:pt>
                <c:pt idx="15">
                  <c:v>331.851</c:v>
                </c:pt>
                <c:pt idx="16">
                  <c:v>326.74239999999998</c:v>
                </c:pt>
                <c:pt idx="17">
                  <c:v>320.51260000000002</c:v>
                </c:pt>
                <c:pt idx="18">
                  <c:v>315.87630000000001</c:v>
                </c:pt>
                <c:pt idx="19">
                  <c:v>309.37630000000001</c:v>
                </c:pt>
                <c:pt idx="20">
                  <c:v>302.899</c:v>
                </c:pt>
                <c:pt idx="21">
                  <c:v>297.94439999999997</c:v>
                </c:pt>
                <c:pt idx="22">
                  <c:v>294.23989999999998</c:v>
                </c:pt>
                <c:pt idx="23">
                  <c:v>290.30810000000002</c:v>
                </c:pt>
                <c:pt idx="24">
                  <c:v>284.096</c:v>
                </c:pt>
                <c:pt idx="25">
                  <c:v>279.4545</c:v>
                </c:pt>
                <c:pt idx="26">
                  <c:v>276.01010000000002</c:v>
                </c:pt>
                <c:pt idx="27">
                  <c:v>271.803</c:v>
                </c:pt>
                <c:pt idx="28">
                  <c:v>266.78030000000001</c:v>
                </c:pt>
                <c:pt idx="29">
                  <c:v>262.82830000000001</c:v>
                </c:pt>
                <c:pt idx="30">
                  <c:v>261.77019999999999</c:v>
                </c:pt>
                <c:pt idx="31">
                  <c:v>260.1465</c:v>
                </c:pt>
                <c:pt idx="32">
                  <c:v>257.49489999999997</c:v>
                </c:pt>
                <c:pt idx="33">
                  <c:v>256.71210000000002</c:v>
                </c:pt>
                <c:pt idx="34">
                  <c:v>258.86619999999999</c:v>
                </c:pt>
                <c:pt idx="35">
                  <c:v>262.32830000000001</c:v>
                </c:pt>
                <c:pt idx="36">
                  <c:v>265.66919999999999</c:v>
                </c:pt>
                <c:pt idx="37">
                  <c:v>270.46969999999999</c:v>
                </c:pt>
                <c:pt idx="38">
                  <c:v>276.947</c:v>
                </c:pt>
                <c:pt idx="39">
                  <c:v>282.21460000000002</c:v>
                </c:pt>
                <c:pt idx="40">
                  <c:v>285.06060000000002</c:v>
                </c:pt>
                <c:pt idx="41">
                  <c:v>287.44439999999997</c:v>
                </c:pt>
                <c:pt idx="42">
                  <c:v>290.43430000000001</c:v>
                </c:pt>
                <c:pt idx="43">
                  <c:v>292.92680000000001</c:v>
                </c:pt>
                <c:pt idx="44">
                  <c:v>293.50760000000002</c:v>
                </c:pt>
                <c:pt idx="45">
                  <c:v>294.58839999999998</c:v>
                </c:pt>
                <c:pt idx="46">
                  <c:v>297.6995</c:v>
                </c:pt>
                <c:pt idx="47">
                  <c:v>299.93689999999998</c:v>
                </c:pt>
                <c:pt idx="48">
                  <c:v>300.61110000000002</c:v>
                </c:pt>
                <c:pt idx="49">
                  <c:v>301.202</c:v>
                </c:pt>
                <c:pt idx="50">
                  <c:v>304.66160000000002</c:v>
                </c:pt>
                <c:pt idx="51">
                  <c:v>308.6995</c:v>
                </c:pt>
                <c:pt idx="52">
                  <c:v>311.73230000000001</c:v>
                </c:pt>
                <c:pt idx="53">
                  <c:v>317.07580000000002</c:v>
                </c:pt>
                <c:pt idx="54">
                  <c:v>325.93689999999998</c:v>
                </c:pt>
                <c:pt idx="55">
                  <c:v>336.21969999999999</c:v>
                </c:pt>
                <c:pt idx="56">
                  <c:v>345.91919999999999</c:v>
                </c:pt>
                <c:pt idx="57">
                  <c:v>356.75760000000002</c:v>
                </c:pt>
                <c:pt idx="58">
                  <c:v>370.46719999999999</c:v>
                </c:pt>
                <c:pt idx="59">
                  <c:v>383.26010000000002</c:v>
                </c:pt>
                <c:pt idx="60">
                  <c:v>395.23739999999998</c:v>
                </c:pt>
                <c:pt idx="61">
                  <c:v>406.81310000000002</c:v>
                </c:pt>
                <c:pt idx="62">
                  <c:v>418.37369999999999</c:v>
                </c:pt>
                <c:pt idx="63">
                  <c:v>426.596</c:v>
                </c:pt>
                <c:pt idx="64">
                  <c:v>430.43180000000001</c:v>
                </c:pt>
                <c:pt idx="65">
                  <c:v>432.37880000000001</c:v>
                </c:pt>
                <c:pt idx="66">
                  <c:v>431.46210000000002</c:v>
                </c:pt>
                <c:pt idx="67">
                  <c:v>428.61360000000002</c:v>
                </c:pt>
                <c:pt idx="68">
                  <c:v>422.28280000000001</c:v>
                </c:pt>
                <c:pt idx="69">
                  <c:v>415.93180000000001</c:v>
                </c:pt>
                <c:pt idx="70">
                  <c:v>408.44439999999997</c:v>
                </c:pt>
                <c:pt idx="71">
                  <c:v>400.97980000000001</c:v>
                </c:pt>
                <c:pt idx="72">
                  <c:v>392.43180000000001</c:v>
                </c:pt>
                <c:pt idx="73">
                  <c:v>384.1035</c:v>
                </c:pt>
                <c:pt idx="74">
                  <c:v>374.69439999999997</c:v>
                </c:pt>
                <c:pt idx="75">
                  <c:v>363.35860000000002</c:v>
                </c:pt>
                <c:pt idx="76">
                  <c:v>351.13889999999998</c:v>
                </c:pt>
                <c:pt idx="77">
                  <c:v>336.41160000000002</c:v>
                </c:pt>
                <c:pt idx="78">
                  <c:v>319.21460000000002</c:v>
                </c:pt>
                <c:pt idx="79">
                  <c:v>299.2045</c:v>
                </c:pt>
                <c:pt idx="80">
                  <c:v>281.00760000000002</c:v>
                </c:pt>
                <c:pt idx="81">
                  <c:v>265.56310000000002</c:v>
                </c:pt>
                <c:pt idx="82">
                  <c:v>252.697</c:v>
                </c:pt>
                <c:pt idx="83">
                  <c:v>242.17169999999999</c:v>
                </c:pt>
                <c:pt idx="84">
                  <c:v>235.904</c:v>
                </c:pt>
                <c:pt idx="85">
                  <c:v>232.601</c:v>
                </c:pt>
                <c:pt idx="86">
                  <c:v>225.21719999999999</c:v>
                </c:pt>
                <c:pt idx="87">
                  <c:v>212.899</c:v>
                </c:pt>
                <c:pt idx="88">
                  <c:v>196.202</c:v>
                </c:pt>
                <c:pt idx="89">
                  <c:v>174.88130000000001</c:v>
                </c:pt>
                <c:pt idx="90">
                  <c:v>147.75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6F-472F-8FC2-1ACCF51B2CD8}"/>
            </c:ext>
          </c:extLst>
        </c:ser>
        <c:ser>
          <c:idx val="2"/>
          <c:order val="2"/>
          <c:tx>
            <c:strRef>
              <c:f>Sheet2!$E$1</c:f>
              <c:strCache>
                <c:ptCount val="1"/>
                <c:pt idx="0">
                  <c:v>density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Sheet2!$B$2:$B$92</c:f>
              <c:strCache>
                <c:ptCount val="91"/>
                <c:pt idx="0">
                  <c:v>600-700</c:v>
                </c:pt>
                <c:pt idx="1">
                  <c:v>610-710</c:v>
                </c:pt>
                <c:pt idx="2">
                  <c:v>620-720</c:v>
                </c:pt>
                <c:pt idx="3">
                  <c:v>630-730</c:v>
                </c:pt>
                <c:pt idx="4">
                  <c:v>640-740</c:v>
                </c:pt>
                <c:pt idx="5">
                  <c:v>650-750</c:v>
                </c:pt>
                <c:pt idx="6">
                  <c:v>700-800</c:v>
                </c:pt>
                <c:pt idx="7">
                  <c:v>710-810</c:v>
                </c:pt>
                <c:pt idx="8">
                  <c:v>720-820</c:v>
                </c:pt>
                <c:pt idx="9">
                  <c:v>730-830</c:v>
                </c:pt>
                <c:pt idx="10">
                  <c:v>740-840</c:v>
                </c:pt>
                <c:pt idx="11">
                  <c:v>750-850</c:v>
                </c:pt>
                <c:pt idx="12">
                  <c:v>800-900</c:v>
                </c:pt>
                <c:pt idx="13">
                  <c:v>810-910</c:v>
                </c:pt>
                <c:pt idx="14">
                  <c:v>820-920</c:v>
                </c:pt>
                <c:pt idx="15">
                  <c:v>830-930</c:v>
                </c:pt>
                <c:pt idx="16">
                  <c:v>840-940</c:v>
                </c:pt>
                <c:pt idx="17">
                  <c:v>850-950</c:v>
                </c:pt>
                <c:pt idx="18">
                  <c:v>900-1000</c:v>
                </c:pt>
                <c:pt idx="19">
                  <c:v>910-1010</c:v>
                </c:pt>
                <c:pt idx="20">
                  <c:v>920-1020</c:v>
                </c:pt>
                <c:pt idx="21">
                  <c:v>930-1030</c:v>
                </c:pt>
                <c:pt idx="22">
                  <c:v>940-1040</c:v>
                </c:pt>
                <c:pt idx="23">
                  <c:v>950-1050</c:v>
                </c:pt>
                <c:pt idx="24">
                  <c:v>1000-1100</c:v>
                </c:pt>
                <c:pt idx="25">
                  <c:v>1010-1110</c:v>
                </c:pt>
                <c:pt idx="26">
                  <c:v>1020-1120</c:v>
                </c:pt>
                <c:pt idx="27">
                  <c:v>1030-1130</c:v>
                </c:pt>
                <c:pt idx="28">
                  <c:v>1040-1140</c:v>
                </c:pt>
                <c:pt idx="29">
                  <c:v>1050-1150</c:v>
                </c:pt>
                <c:pt idx="30">
                  <c:v>1100-1200</c:v>
                </c:pt>
                <c:pt idx="31">
                  <c:v>1110-1210</c:v>
                </c:pt>
                <c:pt idx="32">
                  <c:v>1120-1220</c:v>
                </c:pt>
                <c:pt idx="33">
                  <c:v>1130-1230</c:v>
                </c:pt>
                <c:pt idx="34">
                  <c:v>1140-1240</c:v>
                </c:pt>
                <c:pt idx="35">
                  <c:v>1150-1250</c:v>
                </c:pt>
                <c:pt idx="36">
                  <c:v>1200-1300</c:v>
                </c:pt>
                <c:pt idx="37">
                  <c:v>1210-1310</c:v>
                </c:pt>
                <c:pt idx="38">
                  <c:v>1220-1320</c:v>
                </c:pt>
                <c:pt idx="39">
                  <c:v>1230-1330</c:v>
                </c:pt>
                <c:pt idx="40">
                  <c:v>1240-1340</c:v>
                </c:pt>
                <c:pt idx="41">
                  <c:v>1250-1350</c:v>
                </c:pt>
                <c:pt idx="42">
                  <c:v>1300-1400</c:v>
                </c:pt>
                <c:pt idx="43">
                  <c:v>1310-1410</c:v>
                </c:pt>
                <c:pt idx="44">
                  <c:v>1320-1420</c:v>
                </c:pt>
                <c:pt idx="45">
                  <c:v>1330-1430</c:v>
                </c:pt>
                <c:pt idx="46">
                  <c:v>1340-1440</c:v>
                </c:pt>
                <c:pt idx="47">
                  <c:v>1350-1450</c:v>
                </c:pt>
                <c:pt idx="48">
                  <c:v>1400-1500</c:v>
                </c:pt>
                <c:pt idx="49">
                  <c:v>1410-1510</c:v>
                </c:pt>
                <c:pt idx="50">
                  <c:v>1420-1520</c:v>
                </c:pt>
                <c:pt idx="51">
                  <c:v>1430-1530</c:v>
                </c:pt>
                <c:pt idx="52">
                  <c:v>1440-1540</c:v>
                </c:pt>
                <c:pt idx="53">
                  <c:v>1450-1550</c:v>
                </c:pt>
                <c:pt idx="54">
                  <c:v>1500-1600</c:v>
                </c:pt>
                <c:pt idx="55">
                  <c:v>1510-1610</c:v>
                </c:pt>
                <c:pt idx="56">
                  <c:v>1520-1620</c:v>
                </c:pt>
                <c:pt idx="57">
                  <c:v>1530-1630</c:v>
                </c:pt>
                <c:pt idx="58">
                  <c:v>1540-1640</c:v>
                </c:pt>
                <c:pt idx="59">
                  <c:v>1550-1650</c:v>
                </c:pt>
                <c:pt idx="60">
                  <c:v>1600-1700</c:v>
                </c:pt>
                <c:pt idx="61">
                  <c:v>1610-1710</c:v>
                </c:pt>
                <c:pt idx="62">
                  <c:v>1620-1720</c:v>
                </c:pt>
                <c:pt idx="63">
                  <c:v>1630-1730</c:v>
                </c:pt>
                <c:pt idx="64">
                  <c:v>1640-1740</c:v>
                </c:pt>
                <c:pt idx="65">
                  <c:v>1650-1750</c:v>
                </c:pt>
                <c:pt idx="66">
                  <c:v>1700-1800</c:v>
                </c:pt>
                <c:pt idx="67">
                  <c:v>1710-1810</c:v>
                </c:pt>
                <c:pt idx="68">
                  <c:v>1720-1820</c:v>
                </c:pt>
                <c:pt idx="69">
                  <c:v>1730-1830</c:v>
                </c:pt>
                <c:pt idx="70">
                  <c:v>1740-1840</c:v>
                </c:pt>
                <c:pt idx="71">
                  <c:v>1750-1850</c:v>
                </c:pt>
                <c:pt idx="72">
                  <c:v>1800-1900</c:v>
                </c:pt>
                <c:pt idx="73">
                  <c:v>1810-1910</c:v>
                </c:pt>
                <c:pt idx="74">
                  <c:v>1820-1920</c:v>
                </c:pt>
                <c:pt idx="75">
                  <c:v>1830-1930</c:v>
                </c:pt>
                <c:pt idx="76">
                  <c:v>1840-1940</c:v>
                </c:pt>
                <c:pt idx="77">
                  <c:v>1850-1950</c:v>
                </c:pt>
                <c:pt idx="78">
                  <c:v>1900-2000</c:v>
                </c:pt>
                <c:pt idx="79">
                  <c:v>1910-2010</c:v>
                </c:pt>
                <c:pt idx="80">
                  <c:v>1920-2020</c:v>
                </c:pt>
                <c:pt idx="81">
                  <c:v>1930-2030</c:v>
                </c:pt>
                <c:pt idx="82">
                  <c:v>1940-2040</c:v>
                </c:pt>
                <c:pt idx="83">
                  <c:v>1950-2050</c:v>
                </c:pt>
                <c:pt idx="84">
                  <c:v>2000-2100</c:v>
                </c:pt>
                <c:pt idx="85">
                  <c:v>2010-2110</c:v>
                </c:pt>
                <c:pt idx="86">
                  <c:v>2020-2120</c:v>
                </c:pt>
                <c:pt idx="87">
                  <c:v>2030-2130</c:v>
                </c:pt>
                <c:pt idx="88">
                  <c:v>2040-2140</c:v>
                </c:pt>
                <c:pt idx="89">
                  <c:v>2050-2150</c:v>
                </c:pt>
                <c:pt idx="90">
                  <c:v>2100-2200</c:v>
                </c:pt>
              </c:strCache>
            </c:strRef>
          </c:cat>
          <c:val>
            <c:numRef>
              <c:f>Sheet2!$E$2:$E$92</c:f>
              <c:numCache>
                <c:formatCode>0.00</c:formatCode>
                <c:ptCount val="91"/>
                <c:pt idx="0">
                  <c:v>66.987049999999996</c:v>
                </c:pt>
                <c:pt idx="1">
                  <c:v>72.073359999999994</c:v>
                </c:pt>
                <c:pt idx="2">
                  <c:v>77.86788</c:v>
                </c:pt>
                <c:pt idx="3">
                  <c:v>83.534800000000004</c:v>
                </c:pt>
                <c:pt idx="4">
                  <c:v>89.107399999999998</c:v>
                </c:pt>
                <c:pt idx="5">
                  <c:v>94.984369999999998</c:v>
                </c:pt>
                <c:pt idx="6">
                  <c:v>101.47109</c:v>
                </c:pt>
                <c:pt idx="7">
                  <c:v>107.86673999999999</c:v>
                </c:pt>
                <c:pt idx="8">
                  <c:v>113.28851</c:v>
                </c:pt>
                <c:pt idx="9">
                  <c:v>117.62871</c:v>
                </c:pt>
                <c:pt idx="10">
                  <c:v>120.83543</c:v>
                </c:pt>
                <c:pt idx="11">
                  <c:v>122.45366</c:v>
                </c:pt>
                <c:pt idx="12">
                  <c:v>122.68871</c:v>
                </c:pt>
                <c:pt idx="13">
                  <c:v>121.93737</c:v>
                </c:pt>
                <c:pt idx="14">
                  <c:v>120.87676999999999</c:v>
                </c:pt>
                <c:pt idx="15">
                  <c:v>119.86197</c:v>
                </c:pt>
                <c:pt idx="16">
                  <c:v>118.96827999999999</c:v>
                </c:pt>
                <c:pt idx="17">
                  <c:v>118.47538</c:v>
                </c:pt>
                <c:pt idx="18">
                  <c:v>117.79606</c:v>
                </c:pt>
                <c:pt idx="19">
                  <c:v>117.04667000000001</c:v>
                </c:pt>
                <c:pt idx="20">
                  <c:v>116.54227</c:v>
                </c:pt>
                <c:pt idx="21">
                  <c:v>115.95932000000001</c:v>
                </c:pt>
                <c:pt idx="22">
                  <c:v>115.28207</c:v>
                </c:pt>
                <c:pt idx="23">
                  <c:v>114.27806</c:v>
                </c:pt>
                <c:pt idx="24">
                  <c:v>113.25457</c:v>
                </c:pt>
                <c:pt idx="25">
                  <c:v>112.34944</c:v>
                </c:pt>
                <c:pt idx="26">
                  <c:v>111.35997</c:v>
                </c:pt>
                <c:pt idx="27">
                  <c:v>110.67048</c:v>
                </c:pt>
                <c:pt idx="28">
                  <c:v>110.03023</c:v>
                </c:pt>
                <c:pt idx="29">
                  <c:v>109.77914</c:v>
                </c:pt>
                <c:pt idx="30">
                  <c:v>110.02659</c:v>
                </c:pt>
                <c:pt idx="31">
                  <c:v>110.24265</c:v>
                </c:pt>
                <c:pt idx="32">
                  <c:v>110.30207</c:v>
                </c:pt>
                <c:pt idx="33">
                  <c:v>110.42742</c:v>
                </c:pt>
                <c:pt idx="34">
                  <c:v>110.84278</c:v>
                </c:pt>
                <c:pt idx="35">
                  <c:v>111.35012999999999</c:v>
                </c:pt>
                <c:pt idx="36">
                  <c:v>111.86053</c:v>
                </c:pt>
                <c:pt idx="37">
                  <c:v>112.56310999999999</c:v>
                </c:pt>
                <c:pt idx="38">
                  <c:v>113.40600999999999</c:v>
                </c:pt>
                <c:pt idx="39">
                  <c:v>114.03932</c:v>
                </c:pt>
                <c:pt idx="40">
                  <c:v>114.39310999999999</c:v>
                </c:pt>
                <c:pt idx="41">
                  <c:v>114.52106000000001</c:v>
                </c:pt>
                <c:pt idx="42">
                  <c:v>114.42409000000001</c:v>
                </c:pt>
                <c:pt idx="43">
                  <c:v>114.41636</c:v>
                </c:pt>
                <c:pt idx="44">
                  <c:v>114.43682</c:v>
                </c:pt>
                <c:pt idx="45">
                  <c:v>114.37447</c:v>
                </c:pt>
                <c:pt idx="46">
                  <c:v>114.43876</c:v>
                </c:pt>
                <c:pt idx="47">
                  <c:v>114.60768</c:v>
                </c:pt>
                <c:pt idx="48">
                  <c:v>114.98836</c:v>
                </c:pt>
                <c:pt idx="49">
                  <c:v>115.12702</c:v>
                </c:pt>
                <c:pt idx="50">
                  <c:v>115.51859</c:v>
                </c:pt>
                <c:pt idx="51">
                  <c:v>116.39146</c:v>
                </c:pt>
                <c:pt idx="52">
                  <c:v>117.51027999999999</c:v>
                </c:pt>
                <c:pt idx="53">
                  <c:v>118.71184</c:v>
                </c:pt>
                <c:pt idx="54">
                  <c:v>119.95621</c:v>
                </c:pt>
                <c:pt idx="55">
                  <c:v>121.45061</c:v>
                </c:pt>
                <c:pt idx="56">
                  <c:v>122.90712000000001</c:v>
                </c:pt>
                <c:pt idx="57">
                  <c:v>124.21821</c:v>
                </c:pt>
                <c:pt idx="58">
                  <c:v>125.34828</c:v>
                </c:pt>
                <c:pt idx="59">
                  <c:v>126.60364</c:v>
                </c:pt>
                <c:pt idx="60">
                  <c:v>127.71629</c:v>
                </c:pt>
                <c:pt idx="61">
                  <c:v>128.80371</c:v>
                </c:pt>
                <c:pt idx="62">
                  <c:v>129.72359</c:v>
                </c:pt>
                <c:pt idx="63">
                  <c:v>130.39803000000001</c:v>
                </c:pt>
                <c:pt idx="64">
                  <c:v>130.88543000000001</c:v>
                </c:pt>
                <c:pt idx="65">
                  <c:v>131.11529999999999</c:v>
                </c:pt>
                <c:pt idx="66">
                  <c:v>131.33100999999999</c:v>
                </c:pt>
                <c:pt idx="67">
                  <c:v>131.32868999999999</c:v>
                </c:pt>
                <c:pt idx="68">
                  <c:v>131.06258</c:v>
                </c:pt>
                <c:pt idx="69">
                  <c:v>130.60619</c:v>
                </c:pt>
                <c:pt idx="70">
                  <c:v>130.12721999999999</c:v>
                </c:pt>
                <c:pt idx="71">
                  <c:v>129.37975</c:v>
                </c:pt>
                <c:pt idx="72">
                  <c:v>128.44962000000001</c:v>
                </c:pt>
                <c:pt idx="73">
                  <c:v>127.37187</c:v>
                </c:pt>
                <c:pt idx="74">
                  <c:v>126.26134</c:v>
                </c:pt>
                <c:pt idx="75">
                  <c:v>124.94486999999999</c:v>
                </c:pt>
                <c:pt idx="76">
                  <c:v>123.54025</c:v>
                </c:pt>
                <c:pt idx="77">
                  <c:v>122.00412</c:v>
                </c:pt>
                <c:pt idx="78">
                  <c:v>120.12027999999999</c:v>
                </c:pt>
                <c:pt idx="79">
                  <c:v>117.90508</c:v>
                </c:pt>
                <c:pt idx="80">
                  <c:v>115.50472000000001</c:v>
                </c:pt>
                <c:pt idx="81">
                  <c:v>113.39624000000001</c:v>
                </c:pt>
                <c:pt idx="82">
                  <c:v>111.02621000000001</c:v>
                </c:pt>
                <c:pt idx="83">
                  <c:v>108.66109</c:v>
                </c:pt>
                <c:pt idx="84">
                  <c:v>106.49023</c:v>
                </c:pt>
                <c:pt idx="85">
                  <c:v>104.77265</c:v>
                </c:pt>
                <c:pt idx="86">
                  <c:v>103.8103</c:v>
                </c:pt>
                <c:pt idx="87">
                  <c:v>103.36</c:v>
                </c:pt>
                <c:pt idx="88">
                  <c:v>103.69029999999999</c:v>
                </c:pt>
                <c:pt idx="89">
                  <c:v>104.8377</c:v>
                </c:pt>
                <c:pt idx="90">
                  <c:v>106.58262999999999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6F-472F-8FC2-1ACCF51B2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355008"/>
        <c:axId val="698362496"/>
      </c:lineChart>
      <c:catAx>
        <c:axId val="69835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98362496"/>
        <c:crosses val="autoZero"/>
        <c:auto val="1"/>
        <c:lblAlgn val="ctr"/>
        <c:lblOffset val="100"/>
        <c:noMultiLvlLbl val="0"/>
      </c:catAx>
      <c:valAx>
        <c:axId val="69836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9835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175559</xdr:colOff>
      <xdr:row>0</xdr:row>
      <xdr:rowOff>134471</xdr:rowOff>
    </xdr:from>
    <xdr:to>
      <xdr:col>15</xdr:col>
      <xdr:colOff>127000</xdr:colOff>
      <xdr:row>22</xdr:row>
      <xdr:rowOff>135218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89647</xdr:colOff>
      <xdr:row>55</xdr:row>
      <xdr:rowOff>186764</xdr:rowOff>
    </xdr:from>
    <xdr:to>
      <xdr:col>19</xdr:col>
      <xdr:colOff>437029</xdr:colOff>
      <xdr:row>79</xdr:row>
      <xdr:rowOff>38100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zoomScale="85" zoomScaleNormal="85" workbookViewId="0">
      <selection activeCell="B19" sqref="B19"/>
    </sheetView>
  </sheetViews>
  <sheetFormatPr defaultRowHeight="17" x14ac:dyDescent="0.45"/>
  <cols>
    <col min="1" max="1" width="12.9140625" bestFit="1" customWidth="1"/>
    <col min="8" max="8" width="12.9140625" bestFit="1" customWidth="1"/>
  </cols>
  <sheetData>
    <row r="1" spans="1:14" x14ac:dyDescent="0.45">
      <c r="A1" s="1" t="s">
        <v>9</v>
      </c>
      <c r="B1" s="1" t="s">
        <v>3</v>
      </c>
      <c r="C1" s="1"/>
      <c r="D1" s="1" t="s">
        <v>4</v>
      </c>
      <c r="E1" s="1"/>
      <c r="F1" s="1" t="s">
        <v>5</v>
      </c>
      <c r="G1" s="1"/>
      <c r="H1" s="1" t="s">
        <v>0</v>
      </c>
      <c r="I1" s="1" t="s">
        <v>3</v>
      </c>
      <c r="J1" s="1"/>
      <c r="K1" s="1" t="s">
        <v>4</v>
      </c>
      <c r="L1" s="1"/>
      <c r="M1" s="1" t="s">
        <v>5</v>
      </c>
      <c r="N1" s="1"/>
    </row>
    <row r="2" spans="1:14" x14ac:dyDescent="0.45">
      <c r="A2" s="1" t="s">
        <v>6</v>
      </c>
      <c r="B2" s="1" t="s">
        <v>1</v>
      </c>
      <c r="C2" s="1"/>
      <c r="D2" s="1" t="s">
        <v>1</v>
      </c>
      <c r="E2" s="1"/>
      <c r="F2" s="1" t="s">
        <v>1</v>
      </c>
      <c r="G2" s="1"/>
      <c r="H2" s="1" t="s">
        <v>6</v>
      </c>
      <c r="I2" s="1" t="s">
        <v>1</v>
      </c>
      <c r="J2" s="1"/>
      <c r="K2" s="1" t="s">
        <v>1</v>
      </c>
      <c r="L2" s="1"/>
      <c r="M2" s="1" t="s">
        <v>1</v>
      </c>
      <c r="N2" s="1"/>
    </row>
    <row r="3" spans="1:14" x14ac:dyDescent="0.45">
      <c r="A3" s="1">
        <v>1</v>
      </c>
      <c r="B3" s="1">
        <v>4</v>
      </c>
      <c r="C3" s="1">
        <v>14</v>
      </c>
      <c r="D3" s="1">
        <v>268</v>
      </c>
      <c r="E3" s="1">
        <f>D3+10</f>
        <v>278</v>
      </c>
      <c r="F3" s="1">
        <v>532</v>
      </c>
      <c r="G3" s="1">
        <v>542</v>
      </c>
      <c r="H3" s="1">
        <v>1</v>
      </c>
      <c r="I3" s="1">
        <v>4</v>
      </c>
      <c r="J3" s="1">
        <v>14</v>
      </c>
      <c r="K3" s="1">
        <v>312</v>
      </c>
      <c r="L3" s="1">
        <v>322</v>
      </c>
      <c r="M3" s="1">
        <v>532</v>
      </c>
      <c r="N3" s="1">
        <v>542</v>
      </c>
    </row>
    <row r="4" spans="1:14" x14ac:dyDescent="0.45">
      <c r="A4" s="1">
        <v>2</v>
      </c>
      <c r="B4" s="1">
        <v>48</v>
      </c>
      <c r="C4" s="1">
        <v>58</v>
      </c>
      <c r="D4" s="1">
        <f t="shared" ref="D4:G5" si="0">D3+44</f>
        <v>312</v>
      </c>
      <c r="E4" s="1">
        <f t="shared" si="0"/>
        <v>322</v>
      </c>
      <c r="F4" s="1">
        <f t="shared" si="0"/>
        <v>576</v>
      </c>
      <c r="G4" s="1">
        <f t="shared" si="0"/>
        <v>586</v>
      </c>
      <c r="H4" s="1">
        <v>2</v>
      </c>
      <c r="I4" s="1">
        <v>48</v>
      </c>
      <c r="J4" s="1">
        <v>58</v>
      </c>
      <c r="K4" s="1">
        <f t="shared" ref="K4:N5" si="1">K3+44</f>
        <v>356</v>
      </c>
      <c r="L4" s="1">
        <f t="shared" si="1"/>
        <v>366</v>
      </c>
      <c r="M4" s="1">
        <f t="shared" si="1"/>
        <v>576</v>
      </c>
      <c r="N4" s="1">
        <f t="shared" si="1"/>
        <v>586</v>
      </c>
    </row>
    <row r="5" spans="1:14" x14ac:dyDescent="0.45">
      <c r="A5" s="1">
        <v>3</v>
      </c>
      <c r="B5" s="1">
        <f>B4+44</f>
        <v>92</v>
      </c>
      <c r="C5" s="1">
        <f>C4+44</f>
        <v>102</v>
      </c>
      <c r="D5" s="1">
        <f t="shared" si="0"/>
        <v>356</v>
      </c>
      <c r="E5" s="1">
        <f t="shared" si="0"/>
        <v>366</v>
      </c>
      <c r="F5" s="1">
        <f t="shared" si="0"/>
        <v>620</v>
      </c>
      <c r="G5" s="1">
        <f t="shared" si="0"/>
        <v>630</v>
      </c>
      <c r="H5" s="1">
        <v>3</v>
      </c>
      <c r="I5" s="1">
        <f>I4+44</f>
        <v>92</v>
      </c>
      <c r="J5" s="1">
        <f>J4+44</f>
        <v>102</v>
      </c>
      <c r="K5" s="1">
        <f t="shared" si="1"/>
        <v>400</v>
      </c>
      <c r="L5" s="1">
        <f t="shared" si="1"/>
        <v>410</v>
      </c>
      <c r="M5" s="1">
        <f t="shared" si="1"/>
        <v>620</v>
      </c>
      <c r="N5" s="1">
        <f t="shared" si="1"/>
        <v>630</v>
      </c>
    </row>
    <row r="6" spans="1:14" x14ac:dyDescent="0.45">
      <c r="A6" s="1">
        <v>4</v>
      </c>
      <c r="B6" s="1">
        <f t="shared" ref="B6:B8" si="2">B5+44</f>
        <v>136</v>
      </c>
      <c r="C6" s="1">
        <f t="shared" ref="C6:C8" si="3">C5+44</f>
        <v>146</v>
      </c>
      <c r="D6" s="1">
        <f t="shared" ref="D6:D8" si="4">D5+44</f>
        <v>400</v>
      </c>
      <c r="E6" s="1">
        <f t="shared" ref="E6:E8" si="5">E5+44</f>
        <v>410</v>
      </c>
      <c r="F6" s="1">
        <f t="shared" ref="F6:F8" si="6">F5+44</f>
        <v>664</v>
      </c>
      <c r="G6" s="1">
        <f t="shared" ref="G6:G8" si="7">G5+44</f>
        <v>674</v>
      </c>
      <c r="H6" s="1">
        <v>4</v>
      </c>
      <c r="I6" s="1">
        <f t="shared" ref="I6:I8" si="8">I5+44</f>
        <v>136</v>
      </c>
      <c r="J6" s="1">
        <f t="shared" ref="J6:J8" si="9">J5+44</f>
        <v>146</v>
      </c>
      <c r="K6" s="1">
        <f t="shared" ref="K6:K8" si="10">K5+44</f>
        <v>444</v>
      </c>
      <c r="L6" s="1">
        <f t="shared" ref="L6:L8" si="11">L5+44</f>
        <v>454</v>
      </c>
      <c r="M6" s="1">
        <f t="shared" ref="M6:M8" si="12">M5+44</f>
        <v>664</v>
      </c>
      <c r="N6" s="1">
        <f t="shared" ref="N6:N8" si="13">N5+44</f>
        <v>674</v>
      </c>
    </row>
    <row r="7" spans="1:14" x14ac:dyDescent="0.45">
      <c r="A7" s="1">
        <v>5</v>
      </c>
      <c r="B7" s="1">
        <f t="shared" si="2"/>
        <v>180</v>
      </c>
      <c r="C7" s="1">
        <f t="shared" si="3"/>
        <v>190</v>
      </c>
      <c r="D7" s="1">
        <f t="shared" si="4"/>
        <v>444</v>
      </c>
      <c r="E7" s="1">
        <f t="shared" si="5"/>
        <v>454</v>
      </c>
      <c r="F7" s="1">
        <f t="shared" si="6"/>
        <v>708</v>
      </c>
      <c r="G7" s="1">
        <f t="shared" si="7"/>
        <v>718</v>
      </c>
      <c r="H7" s="1">
        <v>5</v>
      </c>
      <c r="I7" s="1">
        <f t="shared" si="8"/>
        <v>180</v>
      </c>
      <c r="J7" s="1">
        <f t="shared" si="9"/>
        <v>190</v>
      </c>
      <c r="K7" s="1">
        <f t="shared" si="10"/>
        <v>488</v>
      </c>
      <c r="L7" s="1">
        <f t="shared" si="11"/>
        <v>498</v>
      </c>
      <c r="M7" s="1">
        <f t="shared" si="12"/>
        <v>708</v>
      </c>
      <c r="N7" s="1">
        <f t="shared" si="13"/>
        <v>718</v>
      </c>
    </row>
    <row r="8" spans="1:14" x14ac:dyDescent="0.45">
      <c r="A8" s="1">
        <v>6</v>
      </c>
      <c r="B8" s="1">
        <f t="shared" si="2"/>
        <v>224</v>
      </c>
      <c r="C8" s="1">
        <f t="shared" si="3"/>
        <v>234</v>
      </c>
      <c r="D8" s="1">
        <f t="shared" si="4"/>
        <v>488</v>
      </c>
      <c r="E8" s="1">
        <f t="shared" si="5"/>
        <v>498</v>
      </c>
      <c r="F8" s="1">
        <f t="shared" si="6"/>
        <v>752</v>
      </c>
      <c r="G8" s="1">
        <f t="shared" si="7"/>
        <v>762</v>
      </c>
      <c r="H8" s="1">
        <v>6</v>
      </c>
      <c r="I8" s="1">
        <f t="shared" si="8"/>
        <v>224</v>
      </c>
      <c r="J8" s="1">
        <f t="shared" si="9"/>
        <v>234</v>
      </c>
      <c r="K8" s="1">
        <f t="shared" si="10"/>
        <v>532</v>
      </c>
      <c r="L8" s="1">
        <f t="shared" si="11"/>
        <v>542</v>
      </c>
      <c r="M8" s="1">
        <f t="shared" si="12"/>
        <v>752</v>
      </c>
      <c r="N8" s="1">
        <f t="shared" si="13"/>
        <v>762</v>
      </c>
    </row>
    <row r="9" spans="1:14" x14ac:dyDescent="0.45">
      <c r="A9" s="1" t="s">
        <v>7</v>
      </c>
      <c r="B9" s="1" t="s">
        <v>3</v>
      </c>
      <c r="C9" s="1"/>
      <c r="D9" s="1" t="s">
        <v>4</v>
      </c>
      <c r="E9" s="1"/>
      <c r="F9" s="1" t="s">
        <v>5</v>
      </c>
      <c r="G9" s="1"/>
      <c r="H9" s="1" t="s">
        <v>8</v>
      </c>
      <c r="I9" s="2"/>
      <c r="J9" s="2"/>
      <c r="K9" s="2"/>
      <c r="L9" s="2"/>
      <c r="M9" s="2"/>
      <c r="N9" s="2"/>
    </row>
    <row r="10" spans="1:14" x14ac:dyDescent="0.45">
      <c r="A10" s="1" t="s">
        <v>6</v>
      </c>
      <c r="B10" s="1" t="s">
        <v>2</v>
      </c>
      <c r="C10" s="1"/>
      <c r="D10" s="1" t="s">
        <v>2</v>
      </c>
      <c r="E10" s="1"/>
      <c r="F10" s="1" t="s">
        <v>2</v>
      </c>
      <c r="G10" s="1"/>
      <c r="H10" s="1" t="s">
        <v>6</v>
      </c>
      <c r="I10" s="1" t="s">
        <v>2</v>
      </c>
      <c r="J10" s="1"/>
      <c r="K10" s="1"/>
      <c r="L10" s="1"/>
      <c r="M10" s="1"/>
      <c r="N10" s="1"/>
    </row>
    <row r="11" spans="1:14" x14ac:dyDescent="0.45">
      <c r="A11" s="1">
        <v>1</v>
      </c>
      <c r="B11" s="1"/>
      <c r="C11" s="1"/>
      <c r="D11" s="1"/>
      <c r="E11" s="1"/>
      <c r="F11" s="1"/>
      <c r="G11" s="1"/>
      <c r="H11" s="1">
        <v>1</v>
      </c>
      <c r="I11" s="1"/>
      <c r="J11" s="1"/>
      <c r="K11" s="1"/>
      <c r="L11" s="1"/>
      <c r="M11" s="1"/>
      <c r="N11" s="1"/>
    </row>
    <row r="12" spans="1:14" x14ac:dyDescent="0.45">
      <c r="A12" s="1">
        <v>2</v>
      </c>
      <c r="B12" s="1"/>
      <c r="C12" s="1"/>
      <c r="D12" s="1"/>
      <c r="E12" s="1"/>
      <c r="F12" s="1"/>
      <c r="G12" s="1"/>
      <c r="H12" s="1">
        <v>2</v>
      </c>
      <c r="I12" s="1"/>
      <c r="J12" s="1"/>
      <c r="K12" s="1"/>
      <c r="L12" s="1"/>
      <c r="M12" s="1"/>
      <c r="N12" s="1"/>
    </row>
    <row r="13" spans="1:14" x14ac:dyDescent="0.45">
      <c r="A13" s="1">
        <v>3</v>
      </c>
      <c r="B13" s="1"/>
      <c r="C13" s="1"/>
      <c r="D13" s="1"/>
      <c r="E13" s="1"/>
      <c r="F13" s="1"/>
      <c r="G13" s="1"/>
      <c r="H13" s="1">
        <v>3</v>
      </c>
      <c r="I13" s="1"/>
      <c r="J13" s="1"/>
      <c r="K13" s="1"/>
      <c r="L13" s="1"/>
      <c r="M13" s="1"/>
      <c r="N13" s="1"/>
    </row>
    <row r="14" spans="1:14" x14ac:dyDescent="0.45">
      <c r="A14" s="1">
        <v>4</v>
      </c>
      <c r="B14" s="1"/>
      <c r="C14" s="1"/>
      <c r="D14" s="1"/>
      <c r="E14" s="1"/>
      <c r="F14" s="1"/>
      <c r="G14" s="1"/>
      <c r="H14" s="1">
        <v>4</v>
      </c>
      <c r="I14" s="1"/>
      <c r="J14" s="1"/>
      <c r="K14" s="1"/>
      <c r="L14" s="1"/>
      <c r="M14" s="1"/>
      <c r="N14" s="1"/>
    </row>
    <row r="15" spans="1:14" x14ac:dyDescent="0.45">
      <c r="A15" s="1">
        <v>5</v>
      </c>
      <c r="B15" s="1"/>
      <c r="C15" s="1"/>
      <c r="D15" s="1"/>
      <c r="E15" s="1"/>
      <c r="F15" s="1"/>
      <c r="G15" s="1"/>
      <c r="H15" s="1">
        <v>5</v>
      </c>
      <c r="I15" s="1"/>
      <c r="J15" s="1"/>
      <c r="K15" s="1"/>
      <c r="L15" s="1"/>
      <c r="M15" s="1"/>
      <c r="N15" s="1"/>
    </row>
    <row r="16" spans="1:14" x14ac:dyDescent="0.45">
      <c r="A16" s="1">
        <v>6</v>
      </c>
      <c r="B16" s="1"/>
      <c r="C16" s="1"/>
      <c r="D16" s="1"/>
      <c r="E16" s="1"/>
      <c r="F16" s="1"/>
      <c r="G16" s="1"/>
      <c r="H16" s="1">
        <v>6</v>
      </c>
      <c r="I16" s="1"/>
      <c r="J16" s="1"/>
      <c r="K16" s="1"/>
      <c r="L16" s="1"/>
      <c r="M16" s="1"/>
      <c r="N16" s="1"/>
    </row>
    <row r="17" spans="1:7" x14ac:dyDescent="0.45">
      <c r="A17" s="1" t="s">
        <v>10</v>
      </c>
      <c r="B17" s="1" t="s">
        <v>3</v>
      </c>
      <c r="C17" s="1"/>
      <c r="D17" s="1" t="s">
        <v>4</v>
      </c>
      <c r="E17" s="1"/>
      <c r="F17" s="1" t="s">
        <v>5</v>
      </c>
      <c r="G17" s="1"/>
    </row>
    <row r="18" spans="1:7" x14ac:dyDescent="0.45">
      <c r="A18" s="1" t="s">
        <v>6</v>
      </c>
      <c r="B18" s="1" t="s">
        <v>1</v>
      </c>
      <c r="C18" s="1"/>
      <c r="D18" s="1" t="s">
        <v>1</v>
      </c>
      <c r="E18" s="1"/>
      <c r="F18" s="1" t="s">
        <v>1</v>
      </c>
      <c r="G18" s="1"/>
    </row>
    <row r="19" spans="1:7" x14ac:dyDescent="0.45">
      <c r="A19" s="1">
        <v>1</v>
      </c>
      <c r="B19" s="1">
        <f>B3+11</f>
        <v>15</v>
      </c>
      <c r="C19" s="1">
        <f>C3+11</f>
        <v>25</v>
      </c>
      <c r="D19" s="1">
        <f>D3+11</f>
        <v>279</v>
      </c>
      <c r="E19" s="1">
        <f>E3+11</f>
        <v>289</v>
      </c>
      <c r="F19" s="1">
        <f>F3+11</f>
        <v>543</v>
      </c>
      <c r="G19" s="1">
        <f>G3+11</f>
        <v>553</v>
      </c>
    </row>
    <row r="20" spans="1:7" x14ac:dyDescent="0.45">
      <c r="A20" s="1">
        <v>2</v>
      </c>
      <c r="B20" s="1">
        <f>B19+44</f>
        <v>59</v>
      </c>
      <c r="C20" s="1">
        <f>C19+44</f>
        <v>69</v>
      </c>
      <c r="D20" s="1">
        <f t="shared" ref="D20:G20" si="14">D19+44</f>
        <v>323</v>
      </c>
      <c r="E20" s="1">
        <f t="shared" si="14"/>
        <v>333</v>
      </c>
      <c r="F20" s="1">
        <f t="shared" si="14"/>
        <v>587</v>
      </c>
      <c r="G20" s="1">
        <f t="shared" si="14"/>
        <v>597</v>
      </c>
    </row>
    <row r="21" spans="1:7" x14ac:dyDescent="0.45">
      <c r="A21" s="1">
        <v>3</v>
      </c>
      <c r="B21" s="1">
        <f>B20+44</f>
        <v>103</v>
      </c>
      <c r="C21" s="1">
        <f>C20+44</f>
        <v>113</v>
      </c>
      <c r="D21" s="1">
        <f t="shared" ref="D21:G24" si="15">D20+44</f>
        <v>367</v>
      </c>
      <c r="E21" s="1">
        <f t="shared" si="15"/>
        <v>377</v>
      </c>
      <c r="F21" s="1">
        <f t="shared" si="15"/>
        <v>631</v>
      </c>
      <c r="G21" s="1">
        <f t="shared" si="15"/>
        <v>641</v>
      </c>
    </row>
    <row r="22" spans="1:7" x14ac:dyDescent="0.45">
      <c r="A22" s="1">
        <v>4</v>
      </c>
      <c r="B22" s="1">
        <f t="shared" ref="B22:C24" si="16">B21+44</f>
        <v>147</v>
      </c>
      <c r="C22" s="1">
        <f t="shared" si="16"/>
        <v>157</v>
      </c>
      <c r="D22" s="1">
        <f t="shared" si="15"/>
        <v>411</v>
      </c>
      <c r="E22" s="1">
        <f t="shared" si="15"/>
        <v>421</v>
      </c>
      <c r="F22" s="1">
        <f t="shared" si="15"/>
        <v>675</v>
      </c>
      <c r="G22" s="1">
        <f t="shared" si="15"/>
        <v>685</v>
      </c>
    </row>
    <row r="23" spans="1:7" x14ac:dyDescent="0.45">
      <c r="A23" s="1">
        <v>5</v>
      </c>
      <c r="B23" s="1">
        <f t="shared" si="16"/>
        <v>191</v>
      </c>
      <c r="C23" s="1">
        <f t="shared" si="16"/>
        <v>201</v>
      </c>
      <c r="D23" s="1">
        <f t="shared" si="15"/>
        <v>455</v>
      </c>
      <c r="E23" s="1">
        <f t="shared" si="15"/>
        <v>465</v>
      </c>
      <c r="F23" s="1">
        <f t="shared" si="15"/>
        <v>719</v>
      </c>
      <c r="G23" s="1">
        <f t="shared" si="15"/>
        <v>729</v>
      </c>
    </row>
    <row r="24" spans="1:7" x14ac:dyDescent="0.45">
      <c r="A24" s="1">
        <v>6</v>
      </c>
      <c r="B24" s="1">
        <f t="shared" si="16"/>
        <v>235</v>
      </c>
      <c r="C24" s="1">
        <f t="shared" si="16"/>
        <v>245</v>
      </c>
      <c r="D24" s="1">
        <f t="shared" si="15"/>
        <v>499</v>
      </c>
      <c r="E24" s="1">
        <f t="shared" si="15"/>
        <v>509</v>
      </c>
      <c r="F24" s="1">
        <f t="shared" si="15"/>
        <v>763</v>
      </c>
      <c r="G24" s="1">
        <f t="shared" si="15"/>
        <v>773</v>
      </c>
    </row>
    <row r="26" spans="1:7" x14ac:dyDescent="0.45">
      <c r="A26" t="s">
        <v>11</v>
      </c>
      <c r="B26" t="s">
        <v>12</v>
      </c>
    </row>
    <row r="27" spans="1:7" x14ac:dyDescent="0.45">
      <c r="A27">
        <v>1</v>
      </c>
      <c r="B27">
        <v>4</v>
      </c>
      <c r="C27">
        <v>14</v>
      </c>
      <c r="E27">
        <f>B27-3</f>
        <v>1</v>
      </c>
      <c r="F27">
        <f>C27-3</f>
        <v>11</v>
      </c>
    </row>
    <row r="28" spans="1:7" x14ac:dyDescent="0.45">
      <c r="A28">
        <v>2</v>
      </c>
      <c r="B28">
        <v>48</v>
      </c>
      <c r="C28">
        <v>58</v>
      </c>
      <c r="E28">
        <f t="shared" ref="E28:E32" si="17">B28-3</f>
        <v>45</v>
      </c>
      <c r="F28">
        <f t="shared" ref="F28:F32" si="18">C28-3</f>
        <v>55</v>
      </c>
    </row>
    <row r="29" spans="1:7" x14ac:dyDescent="0.45">
      <c r="A29">
        <v>3</v>
      </c>
      <c r="B29">
        <v>92</v>
      </c>
      <c r="C29">
        <v>102</v>
      </c>
      <c r="E29">
        <f t="shared" si="17"/>
        <v>89</v>
      </c>
      <c r="F29">
        <f t="shared" si="18"/>
        <v>99</v>
      </c>
    </row>
    <row r="30" spans="1:7" x14ac:dyDescent="0.45">
      <c r="A30">
        <v>4</v>
      </c>
      <c r="B30">
        <v>136</v>
      </c>
      <c r="C30">
        <v>146</v>
      </c>
      <c r="E30">
        <f t="shared" si="17"/>
        <v>133</v>
      </c>
      <c r="F30">
        <f t="shared" si="18"/>
        <v>143</v>
      </c>
    </row>
    <row r="31" spans="1:7" x14ac:dyDescent="0.45">
      <c r="A31">
        <v>5</v>
      </c>
      <c r="B31">
        <v>180</v>
      </c>
      <c r="C31">
        <v>190</v>
      </c>
      <c r="E31">
        <f t="shared" si="17"/>
        <v>177</v>
      </c>
      <c r="F31">
        <f t="shared" si="18"/>
        <v>187</v>
      </c>
    </row>
    <row r="32" spans="1:7" x14ac:dyDescent="0.45">
      <c r="A32">
        <v>6</v>
      </c>
      <c r="B32">
        <v>224</v>
      </c>
      <c r="C32">
        <v>234</v>
      </c>
      <c r="E32">
        <f t="shared" si="17"/>
        <v>221</v>
      </c>
      <c r="F32">
        <f t="shared" si="18"/>
        <v>231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2"/>
  <sheetViews>
    <sheetView topLeftCell="A57" zoomScale="85" zoomScaleNormal="85" workbookViewId="0">
      <selection activeCell="B2" sqref="B2:B92"/>
    </sheetView>
  </sheetViews>
  <sheetFormatPr defaultRowHeight="17" x14ac:dyDescent="0.45"/>
  <sheetData>
    <row r="1" spans="1:5" ht="17.5" thickBot="1" x14ac:dyDescent="0.5">
      <c r="A1" s="7"/>
      <c r="B1" s="7" t="s">
        <v>13</v>
      </c>
      <c r="C1" s="7" t="s">
        <v>14</v>
      </c>
      <c r="D1" s="7" t="s">
        <v>15</v>
      </c>
      <c r="E1" s="7" t="s">
        <v>16</v>
      </c>
    </row>
    <row r="2" spans="1:5" ht="17.5" thickBot="1" x14ac:dyDescent="0.5">
      <c r="A2" s="3">
        <v>1</v>
      </c>
      <c r="B2" s="4" t="s">
        <v>17</v>
      </c>
      <c r="C2" s="8">
        <v>42.65157</v>
      </c>
      <c r="D2" s="8">
        <v>104.5076</v>
      </c>
      <c r="E2" s="8">
        <v>66.987049999999996</v>
      </c>
    </row>
    <row r="3" spans="1:5" ht="17.5" thickBot="1" x14ac:dyDescent="0.5">
      <c r="A3" s="3">
        <v>2</v>
      </c>
      <c r="B3" s="4" t="s">
        <v>18</v>
      </c>
      <c r="C3" s="8">
        <v>42.32432</v>
      </c>
      <c r="D3" s="8">
        <v>120.71720000000001</v>
      </c>
      <c r="E3" s="8">
        <v>72.073359999999994</v>
      </c>
    </row>
    <row r="4" spans="1:5" ht="17.5" thickBot="1" x14ac:dyDescent="0.5">
      <c r="A4" s="3">
        <v>3</v>
      </c>
      <c r="B4" s="4" t="s">
        <v>19</v>
      </c>
      <c r="C4" s="8">
        <v>41.999870000000001</v>
      </c>
      <c r="D4" s="8">
        <v>138.697</v>
      </c>
      <c r="E4" s="8">
        <v>77.86788</v>
      </c>
    </row>
    <row r="5" spans="1:5" ht="17.5" thickBot="1" x14ac:dyDescent="0.5">
      <c r="A5" s="3">
        <v>4</v>
      </c>
      <c r="B5" s="4" t="s">
        <v>20</v>
      </c>
      <c r="C5" s="8">
        <v>41.747369999999997</v>
      </c>
      <c r="D5" s="8">
        <v>158.0581</v>
      </c>
      <c r="E5" s="8">
        <v>83.534800000000004</v>
      </c>
    </row>
    <row r="6" spans="1:5" ht="17.5" thickBot="1" x14ac:dyDescent="0.5">
      <c r="A6" s="3">
        <v>5</v>
      </c>
      <c r="B6" s="4" t="s">
        <v>21</v>
      </c>
      <c r="C6" s="8">
        <v>41.467829999999999</v>
      </c>
      <c r="D6" s="8">
        <v>178.8561</v>
      </c>
      <c r="E6" s="8">
        <v>89.107399999999998</v>
      </c>
    </row>
    <row r="7" spans="1:5" ht="17.5" thickBot="1" x14ac:dyDescent="0.5">
      <c r="A7" s="3">
        <v>6</v>
      </c>
      <c r="B7" s="4" t="s">
        <v>22</v>
      </c>
      <c r="C7" s="8">
        <v>41.236490000000003</v>
      </c>
      <c r="D7" s="8">
        <v>201.76769999999999</v>
      </c>
      <c r="E7" s="8">
        <v>94.984369999999998</v>
      </c>
    </row>
    <row r="8" spans="1:5" ht="17.5" thickBot="1" x14ac:dyDescent="0.5">
      <c r="A8" s="3">
        <v>7</v>
      </c>
      <c r="B8" s="4" t="s">
        <v>23</v>
      </c>
      <c r="C8" s="8">
        <v>40.98912</v>
      </c>
      <c r="D8" s="8">
        <v>227.16159999999999</v>
      </c>
      <c r="E8" s="8">
        <v>101.47109</v>
      </c>
    </row>
    <row r="9" spans="1:5" ht="17.5" thickBot="1" x14ac:dyDescent="0.5">
      <c r="A9" s="3">
        <v>8</v>
      </c>
      <c r="B9" s="4" t="s">
        <v>24</v>
      </c>
      <c r="C9" s="8">
        <v>40.769170000000003</v>
      </c>
      <c r="D9" s="8">
        <v>254.42169999999999</v>
      </c>
      <c r="E9" s="8">
        <v>107.86673999999999</v>
      </c>
    </row>
    <row r="10" spans="1:5" ht="17.5" thickBot="1" x14ac:dyDescent="0.5">
      <c r="A10" s="3">
        <v>9</v>
      </c>
      <c r="B10" s="4" t="s">
        <v>25</v>
      </c>
      <c r="C10" s="8">
        <v>40.56232</v>
      </c>
      <c r="D10" s="8">
        <v>279.351</v>
      </c>
      <c r="E10" s="8">
        <v>113.28851</v>
      </c>
    </row>
    <row r="11" spans="1:5" ht="17.5" thickBot="1" x14ac:dyDescent="0.5">
      <c r="A11" s="3">
        <v>10</v>
      </c>
      <c r="B11" s="4" t="s">
        <v>26</v>
      </c>
      <c r="C11" s="8">
        <v>40.359020000000001</v>
      </c>
      <c r="D11" s="8">
        <v>300.548</v>
      </c>
      <c r="E11" s="8">
        <v>117.62871</v>
      </c>
    </row>
    <row r="12" spans="1:5" ht="17.5" thickBot="1" x14ac:dyDescent="0.5">
      <c r="A12" s="3">
        <v>11</v>
      </c>
      <c r="B12" s="4" t="s">
        <v>27</v>
      </c>
      <c r="C12" s="8">
        <v>40.234119999999997</v>
      </c>
      <c r="D12" s="8">
        <v>317.69189999999998</v>
      </c>
      <c r="E12" s="8">
        <v>120.83543</v>
      </c>
    </row>
    <row r="13" spans="1:5" ht="17.5" thickBot="1" x14ac:dyDescent="0.5">
      <c r="A13" s="3">
        <v>12</v>
      </c>
      <c r="B13" s="4" t="s">
        <v>28</v>
      </c>
      <c r="C13" s="8">
        <v>40.175609999999999</v>
      </c>
      <c r="D13" s="8">
        <v>330.0455</v>
      </c>
      <c r="E13" s="8">
        <v>122.45366</v>
      </c>
    </row>
    <row r="14" spans="1:5" ht="17.5" thickBot="1" x14ac:dyDescent="0.5">
      <c r="A14" s="3">
        <v>13</v>
      </c>
      <c r="B14" s="4" t="s">
        <v>29</v>
      </c>
      <c r="C14" s="8">
        <v>40.24174</v>
      </c>
      <c r="D14" s="8">
        <v>335.40910000000002</v>
      </c>
      <c r="E14" s="8">
        <v>122.68871</v>
      </c>
    </row>
    <row r="15" spans="1:5" ht="17.5" thickBot="1" x14ac:dyDescent="0.5">
      <c r="A15" s="3">
        <v>14</v>
      </c>
      <c r="B15" s="4" t="s">
        <v>30</v>
      </c>
      <c r="C15" s="8">
        <v>40.36891</v>
      </c>
      <c r="D15" s="8">
        <v>336.32580000000002</v>
      </c>
      <c r="E15" s="8">
        <v>121.93737</v>
      </c>
    </row>
    <row r="16" spans="1:5" ht="17.5" thickBot="1" x14ac:dyDescent="0.5">
      <c r="A16" s="3">
        <v>15</v>
      </c>
      <c r="B16" s="4" t="s">
        <v>31</v>
      </c>
      <c r="C16" s="8">
        <v>40.553229999999999</v>
      </c>
      <c r="D16" s="8">
        <v>335.03280000000001</v>
      </c>
      <c r="E16" s="8">
        <v>120.87676999999999</v>
      </c>
    </row>
    <row r="17" spans="1:12" ht="17.5" thickBot="1" x14ac:dyDescent="0.5">
      <c r="A17" s="3">
        <v>16</v>
      </c>
      <c r="B17" s="4" t="s">
        <v>32</v>
      </c>
      <c r="C17" s="8">
        <v>40.770429999999998</v>
      </c>
      <c r="D17" s="8">
        <v>331.851</v>
      </c>
      <c r="E17" s="8">
        <v>119.86197</v>
      </c>
    </row>
    <row r="18" spans="1:12" ht="17.5" thickBot="1" x14ac:dyDescent="0.5">
      <c r="A18" s="3">
        <v>17</v>
      </c>
      <c r="B18" s="4" t="s">
        <v>33</v>
      </c>
      <c r="C18" s="8">
        <v>41.018459999999997</v>
      </c>
      <c r="D18" s="8">
        <v>326.74239999999998</v>
      </c>
      <c r="E18" s="8">
        <v>118.96827999999999</v>
      </c>
    </row>
    <row r="19" spans="1:12" ht="17.5" thickBot="1" x14ac:dyDescent="0.5">
      <c r="A19" s="3">
        <v>18</v>
      </c>
      <c r="B19" s="4" t="s">
        <v>34</v>
      </c>
      <c r="C19" s="8">
        <v>41.24098</v>
      </c>
      <c r="D19" s="8">
        <v>320.51260000000002</v>
      </c>
      <c r="E19" s="8">
        <v>118.47538</v>
      </c>
    </row>
    <row r="20" spans="1:12" ht="17.5" thickBot="1" x14ac:dyDescent="0.5">
      <c r="A20" s="3">
        <v>19</v>
      </c>
      <c r="B20" s="4" t="s">
        <v>35</v>
      </c>
      <c r="C20" s="8">
        <v>41.403179999999999</v>
      </c>
      <c r="D20" s="8">
        <v>315.87630000000001</v>
      </c>
      <c r="E20" s="8">
        <v>117.79606</v>
      </c>
    </row>
    <row r="21" spans="1:12" ht="17.5" thickBot="1" x14ac:dyDescent="0.5">
      <c r="A21" s="3">
        <v>20</v>
      </c>
      <c r="B21" s="4" t="s">
        <v>36</v>
      </c>
      <c r="C21" s="8">
        <v>41.535200000000003</v>
      </c>
      <c r="D21" s="8">
        <v>309.37630000000001</v>
      </c>
      <c r="E21" s="8">
        <v>117.04667000000001</v>
      </c>
    </row>
    <row r="22" spans="1:12" ht="17.5" thickBot="1" x14ac:dyDescent="0.5">
      <c r="A22" s="3">
        <v>21</v>
      </c>
      <c r="B22" s="4" t="s">
        <v>37</v>
      </c>
      <c r="C22" s="8">
        <v>41.619370000000004</v>
      </c>
      <c r="D22" s="8">
        <v>302.899</v>
      </c>
      <c r="E22" s="8">
        <v>116.54227</v>
      </c>
    </row>
    <row r="23" spans="1:12" ht="17.5" thickBot="1" x14ac:dyDescent="0.5">
      <c r="A23" s="3">
        <v>22</v>
      </c>
      <c r="B23" s="4" t="s">
        <v>38</v>
      </c>
      <c r="C23" s="8">
        <v>41.67174</v>
      </c>
      <c r="D23" s="8">
        <v>297.94439999999997</v>
      </c>
      <c r="E23" s="8">
        <v>115.95932000000001</v>
      </c>
    </row>
    <row r="24" spans="1:12" ht="17.5" thickBot="1" x14ac:dyDescent="0.5">
      <c r="A24" s="3">
        <v>23</v>
      </c>
      <c r="B24" s="4" t="s">
        <v>39</v>
      </c>
      <c r="C24" s="8">
        <v>41.70917</v>
      </c>
      <c r="D24" s="8">
        <v>294.23989999999998</v>
      </c>
      <c r="E24" s="8">
        <v>115.28207</v>
      </c>
    </row>
    <row r="25" spans="1:12" ht="17.5" thickBot="1" x14ac:dyDescent="0.5">
      <c r="A25" s="3">
        <v>24</v>
      </c>
      <c r="B25" s="4" t="s">
        <v>40</v>
      </c>
      <c r="C25" s="8">
        <v>41.733229999999999</v>
      </c>
      <c r="D25" s="8">
        <v>290.30810000000002</v>
      </c>
      <c r="E25" s="8">
        <v>114.27806</v>
      </c>
    </row>
    <row r="26" spans="1:12" ht="17.5" thickBot="1" x14ac:dyDescent="0.5">
      <c r="A26" s="3">
        <v>25</v>
      </c>
      <c r="B26" s="4" t="s">
        <v>41</v>
      </c>
      <c r="C26" s="8">
        <v>41.76576</v>
      </c>
      <c r="D26" s="8">
        <v>284.096</v>
      </c>
      <c r="E26" s="8">
        <v>113.25457</v>
      </c>
      <c r="G26">
        <v>42.350909999999999</v>
      </c>
      <c r="H26">
        <v>39.19182</v>
      </c>
      <c r="I26">
        <v>36.021210000000004</v>
      </c>
      <c r="J26">
        <v>32.979239999999997</v>
      </c>
      <c r="K26">
        <v>29.789090000000002</v>
      </c>
      <c r="L26">
        <v>26.57939</v>
      </c>
    </row>
    <row r="27" spans="1:12" ht="17.5" thickBot="1" x14ac:dyDescent="0.5">
      <c r="A27" s="3">
        <v>26</v>
      </c>
      <c r="B27" s="4" t="s">
        <v>42</v>
      </c>
      <c r="C27" s="8">
        <v>41.800879999999999</v>
      </c>
      <c r="D27" s="8">
        <v>279.4545</v>
      </c>
      <c r="E27" s="8">
        <v>112.34944</v>
      </c>
    </row>
    <row r="28" spans="1:12" ht="17.5" thickBot="1" x14ac:dyDescent="0.5">
      <c r="A28" s="3">
        <v>27</v>
      </c>
      <c r="B28" s="4" t="s">
        <v>43</v>
      </c>
      <c r="C28" s="8">
        <v>41.872799999999998</v>
      </c>
      <c r="D28" s="8">
        <v>276.01010000000002</v>
      </c>
      <c r="E28" s="8">
        <v>111.35997</v>
      </c>
    </row>
    <row r="29" spans="1:12" ht="17.5" thickBot="1" x14ac:dyDescent="0.5">
      <c r="A29" s="3">
        <v>28</v>
      </c>
      <c r="B29" s="4" t="s">
        <v>44</v>
      </c>
      <c r="C29" s="8">
        <v>41.94641</v>
      </c>
      <c r="D29" s="8">
        <v>271.803</v>
      </c>
      <c r="E29" s="8">
        <v>110.67048</v>
      </c>
    </row>
    <row r="30" spans="1:12" ht="17.5" thickBot="1" x14ac:dyDescent="0.5">
      <c r="A30" s="3">
        <v>29</v>
      </c>
      <c r="B30" s="4" t="s">
        <v>45</v>
      </c>
      <c r="C30" s="8">
        <v>41.985399999999998</v>
      </c>
      <c r="D30" s="8">
        <v>266.78030000000001</v>
      </c>
      <c r="E30" s="8">
        <v>110.03023</v>
      </c>
    </row>
    <row r="31" spans="1:12" ht="17.5" thickBot="1" x14ac:dyDescent="0.5">
      <c r="A31" s="3">
        <v>30</v>
      </c>
      <c r="B31" s="4" t="s">
        <v>46</v>
      </c>
      <c r="C31" s="8">
        <v>42.037350000000004</v>
      </c>
      <c r="D31" s="8">
        <v>262.82830000000001</v>
      </c>
      <c r="E31" s="8">
        <v>109.77914</v>
      </c>
    </row>
    <row r="32" spans="1:12" ht="17.5" thickBot="1" x14ac:dyDescent="0.5">
      <c r="A32" s="3">
        <v>31</v>
      </c>
      <c r="B32" s="4" t="s">
        <v>47</v>
      </c>
      <c r="C32" s="8">
        <v>42.109439999999999</v>
      </c>
      <c r="D32" s="8">
        <v>261.77019999999999</v>
      </c>
      <c r="E32" s="8">
        <v>110.02659</v>
      </c>
    </row>
    <row r="33" spans="1:5" ht="17.5" thickBot="1" x14ac:dyDescent="0.5">
      <c r="A33" s="3">
        <v>32</v>
      </c>
      <c r="B33" s="4" t="s">
        <v>48</v>
      </c>
      <c r="C33" s="8">
        <v>42.180129999999998</v>
      </c>
      <c r="D33" s="8">
        <v>260.1465</v>
      </c>
      <c r="E33" s="8">
        <v>110.24265</v>
      </c>
    </row>
    <row r="34" spans="1:5" ht="17.5" thickBot="1" x14ac:dyDescent="0.5">
      <c r="A34" s="3">
        <v>33</v>
      </c>
      <c r="B34" s="4" t="s">
        <v>49</v>
      </c>
      <c r="C34" s="8">
        <v>42.228540000000002</v>
      </c>
      <c r="D34" s="8">
        <v>257.49489999999997</v>
      </c>
      <c r="E34" s="8">
        <v>110.30207</v>
      </c>
    </row>
    <row r="35" spans="1:5" ht="17.5" thickBot="1" x14ac:dyDescent="0.5">
      <c r="A35" s="3">
        <v>34</v>
      </c>
      <c r="B35" s="4" t="s">
        <v>50</v>
      </c>
      <c r="C35" s="8">
        <v>42.242730000000002</v>
      </c>
      <c r="D35" s="8">
        <v>256.71210000000002</v>
      </c>
      <c r="E35" s="8">
        <v>110.42742</v>
      </c>
    </row>
    <row r="36" spans="1:5" ht="17.5" thickBot="1" x14ac:dyDescent="0.5">
      <c r="A36" s="3">
        <v>35</v>
      </c>
      <c r="B36" s="4" t="s">
        <v>51</v>
      </c>
      <c r="C36" s="8">
        <v>42.241540000000001</v>
      </c>
      <c r="D36" s="8">
        <v>258.86619999999999</v>
      </c>
      <c r="E36" s="8">
        <v>110.84278</v>
      </c>
    </row>
    <row r="37" spans="1:5" ht="17.5" thickBot="1" x14ac:dyDescent="0.5">
      <c r="A37" s="3">
        <v>36</v>
      </c>
      <c r="B37" s="4" t="s">
        <v>52</v>
      </c>
      <c r="C37" s="8">
        <v>42.226570000000002</v>
      </c>
      <c r="D37" s="8">
        <v>262.32830000000001</v>
      </c>
      <c r="E37" s="8">
        <v>111.35012999999999</v>
      </c>
    </row>
    <row r="38" spans="1:5" ht="17.5" thickBot="1" x14ac:dyDescent="0.5">
      <c r="A38" s="3">
        <v>37</v>
      </c>
      <c r="B38" s="4" t="s">
        <v>53</v>
      </c>
      <c r="C38" s="8">
        <v>42.146790000000003</v>
      </c>
      <c r="D38" s="8">
        <v>265.66919999999999</v>
      </c>
      <c r="E38" s="8">
        <v>111.86053</v>
      </c>
    </row>
    <row r="39" spans="1:5" ht="17.5" thickBot="1" x14ac:dyDescent="0.5">
      <c r="A39" s="3">
        <v>38</v>
      </c>
      <c r="B39" s="4" t="s">
        <v>54</v>
      </c>
      <c r="C39" s="8">
        <v>42.049849999999999</v>
      </c>
      <c r="D39" s="8">
        <v>270.46969999999999</v>
      </c>
      <c r="E39" s="8">
        <v>112.56310999999999</v>
      </c>
    </row>
    <row r="40" spans="1:5" ht="17.5" thickBot="1" x14ac:dyDescent="0.5">
      <c r="A40" s="3">
        <v>39</v>
      </c>
      <c r="B40" s="4" t="s">
        <v>55</v>
      </c>
      <c r="C40" s="8">
        <v>41.956009999999999</v>
      </c>
      <c r="D40" s="8">
        <v>276.947</v>
      </c>
      <c r="E40" s="8">
        <v>113.40600999999999</v>
      </c>
    </row>
    <row r="41" spans="1:5" ht="17.5" thickBot="1" x14ac:dyDescent="0.5">
      <c r="A41" s="3">
        <v>40</v>
      </c>
      <c r="B41" s="4" t="s">
        <v>56</v>
      </c>
      <c r="C41" s="8">
        <v>41.89669</v>
      </c>
      <c r="D41" s="8">
        <v>282.21460000000002</v>
      </c>
      <c r="E41" s="8">
        <v>114.03932</v>
      </c>
    </row>
    <row r="42" spans="1:5" ht="17.5" thickBot="1" x14ac:dyDescent="0.5">
      <c r="A42" s="3">
        <v>41</v>
      </c>
      <c r="B42" s="4" t="s">
        <v>57</v>
      </c>
      <c r="C42" s="8">
        <v>41.837699999999998</v>
      </c>
      <c r="D42" s="8">
        <v>285.06060000000002</v>
      </c>
      <c r="E42" s="8">
        <v>114.39310999999999</v>
      </c>
    </row>
    <row r="43" spans="1:5" ht="17.5" thickBot="1" x14ac:dyDescent="0.5">
      <c r="A43" s="3">
        <v>42</v>
      </c>
      <c r="B43" s="4" t="s">
        <v>58</v>
      </c>
      <c r="C43" s="8">
        <v>41.78313</v>
      </c>
      <c r="D43" s="8">
        <v>287.44439999999997</v>
      </c>
      <c r="E43" s="8">
        <v>114.52106000000001</v>
      </c>
    </row>
    <row r="44" spans="1:5" ht="17.5" thickBot="1" x14ac:dyDescent="0.5">
      <c r="A44" s="3">
        <v>43</v>
      </c>
      <c r="B44" s="4" t="s">
        <v>59</v>
      </c>
      <c r="C44" s="8">
        <v>41.79674</v>
      </c>
      <c r="D44" s="8">
        <v>290.43430000000001</v>
      </c>
      <c r="E44" s="8">
        <v>114.42409000000001</v>
      </c>
    </row>
    <row r="45" spans="1:5" ht="17.5" thickBot="1" x14ac:dyDescent="0.5">
      <c r="A45" s="3">
        <v>44</v>
      </c>
      <c r="B45" s="4" t="s">
        <v>60</v>
      </c>
      <c r="C45" s="8">
        <v>41.809139999999999</v>
      </c>
      <c r="D45" s="8">
        <v>292.92680000000001</v>
      </c>
      <c r="E45" s="8">
        <v>114.41636</v>
      </c>
    </row>
    <row r="46" spans="1:5" ht="17.5" thickBot="1" x14ac:dyDescent="0.5">
      <c r="A46" s="3">
        <v>45</v>
      </c>
      <c r="B46" s="4" t="s">
        <v>61</v>
      </c>
      <c r="C46" s="8">
        <v>41.799320000000002</v>
      </c>
      <c r="D46" s="8">
        <v>293.50760000000002</v>
      </c>
      <c r="E46" s="8">
        <v>114.43682</v>
      </c>
    </row>
    <row r="47" spans="1:5" ht="17.5" thickBot="1" x14ac:dyDescent="0.5">
      <c r="A47" s="3">
        <v>46</v>
      </c>
      <c r="B47" s="4" t="s">
        <v>62</v>
      </c>
      <c r="C47" s="8">
        <v>41.792929999999998</v>
      </c>
      <c r="D47" s="8">
        <v>294.58839999999998</v>
      </c>
      <c r="E47" s="8">
        <v>114.37447</v>
      </c>
    </row>
    <row r="48" spans="1:5" ht="17.5" thickBot="1" x14ac:dyDescent="0.5">
      <c r="A48" s="3">
        <v>47</v>
      </c>
      <c r="B48" s="4" t="s">
        <v>63</v>
      </c>
      <c r="C48" s="8">
        <v>41.818460000000002</v>
      </c>
      <c r="D48" s="8">
        <v>297.6995</v>
      </c>
      <c r="E48" s="8">
        <v>114.43876</v>
      </c>
    </row>
    <row r="49" spans="1:5" ht="17.5" thickBot="1" x14ac:dyDescent="0.5">
      <c r="A49" s="3">
        <v>48</v>
      </c>
      <c r="B49" s="4" t="s">
        <v>64</v>
      </c>
      <c r="C49" s="8">
        <v>41.849339999999998</v>
      </c>
      <c r="D49" s="8">
        <v>299.93689999999998</v>
      </c>
      <c r="E49" s="8">
        <v>114.60768</v>
      </c>
    </row>
    <row r="50" spans="1:5" ht="17.5" thickBot="1" x14ac:dyDescent="0.5">
      <c r="A50" s="3">
        <v>49</v>
      </c>
      <c r="B50" s="4" t="s">
        <v>65</v>
      </c>
      <c r="C50" s="8">
        <v>41.824950000000001</v>
      </c>
      <c r="D50" s="8">
        <v>300.61110000000002</v>
      </c>
      <c r="E50" s="8">
        <v>114.98836</v>
      </c>
    </row>
    <row r="51" spans="1:5" ht="17.5" thickBot="1" x14ac:dyDescent="0.5">
      <c r="A51" s="3">
        <v>50</v>
      </c>
      <c r="B51" s="4" t="s">
        <v>66</v>
      </c>
      <c r="C51" s="8">
        <v>41.81644</v>
      </c>
      <c r="D51" s="8">
        <v>301.202</v>
      </c>
      <c r="E51" s="8">
        <v>115.12702</v>
      </c>
    </row>
    <row r="52" spans="1:5" ht="17.5" thickBot="1" x14ac:dyDescent="0.5">
      <c r="A52" s="3">
        <v>51</v>
      </c>
      <c r="B52" s="4" t="s">
        <v>67</v>
      </c>
      <c r="C52" s="8">
        <v>41.842500000000001</v>
      </c>
      <c r="D52" s="8">
        <v>304.66160000000002</v>
      </c>
      <c r="E52" s="8">
        <v>115.51859</v>
      </c>
    </row>
    <row r="53" spans="1:5" ht="17.5" thickBot="1" x14ac:dyDescent="0.5">
      <c r="A53" s="3">
        <v>52</v>
      </c>
      <c r="B53" s="4" t="s">
        <v>68</v>
      </c>
      <c r="C53" s="8">
        <v>41.840029999999999</v>
      </c>
      <c r="D53" s="8">
        <v>308.6995</v>
      </c>
      <c r="E53" s="8">
        <v>116.39146</v>
      </c>
    </row>
    <row r="54" spans="1:5" ht="17.5" thickBot="1" x14ac:dyDescent="0.5">
      <c r="A54" s="3">
        <v>53</v>
      </c>
      <c r="B54" s="4" t="s">
        <v>69</v>
      </c>
      <c r="C54" s="8">
        <v>41.826210000000003</v>
      </c>
      <c r="D54" s="8">
        <v>311.73230000000001</v>
      </c>
      <c r="E54" s="8">
        <v>117.51027999999999</v>
      </c>
    </row>
    <row r="55" spans="1:5" ht="17.5" thickBot="1" x14ac:dyDescent="0.5">
      <c r="A55" s="3">
        <v>54</v>
      </c>
      <c r="B55" s="4" t="s">
        <v>70</v>
      </c>
      <c r="C55" s="8">
        <v>41.793030000000002</v>
      </c>
      <c r="D55" s="8">
        <v>317.07580000000002</v>
      </c>
      <c r="E55" s="8">
        <v>118.71184</v>
      </c>
    </row>
    <row r="56" spans="1:5" ht="17.5" thickBot="1" x14ac:dyDescent="0.5">
      <c r="A56" s="3">
        <v>55</v>
      </c>
      <c r="B56" s="4" t="s">
        <v>71</v>
      </c>
      <c r="C56" s="8">
        <v>41.791919999999998</v>
      </c>
      <c r="D56" s="8">
        <v>325.93689999999998</v>
      </c>
      <c r="E56" s="8">
        <v>119.95621</v>
      </c>
    </row>
    <row r="57" spans="1:5" ht="17.5" thickBot="1" x14ac:dyDescent="0.5">
      <c r="A57" s="3">
        <v>56</v>
      </c>
      <c r="B57" s="4" t="s">
        <v>72</v>
      </c>
      <c r="C57" s="8">
        <v>41.771970000000003</v>
      </c>
      <c r="D57" s="8">
        <v>336.21969999999999</v>
      </c>
      <c r="E57" s="8">
        <v>121.45061</v>
      </c>
    </row>
    <row r="58" spans="1:5" ht="17.5" thickBot="1" x14ac:dyDescent="0.5">
      <c r="A58" s="3">
        <v>57</v>
      </c>
      <c r="B58" s="4" t="s">
        <v>73</v>
      </c>
      <c r="C58" s="8">
        <v>41.72184</v>
      </c>
      <c r="D58" s="8">
        <v>345.91919999999999</v>
      </c>
      <c r="E58" s="8">
        <v>122.90712000000001</v>
      </c>
    </row>
    <row r="59" spans="1:5" ht="17.5" thickBot="1" x14ac:dyDescent="0.5">
      <c r="A59" s="3">
        <v>58</v>
      </c>
      <c r="B59" s="4" t="s">
        <v>74</v>
      </c>
      <c r="C59" s="8">
        <v>41.699370000000002</v>
      </c>
      <c r="D59" s="8">
        <v>356.75760000000002</v>
      </c>
      <c r="E59" s="8">
        <v>124.21821</v>
      </c>
    </row>
    <row r="60" spans="1:5" ht="17.5" thickBot="1" x14ac:dyDescent="0.5">
      <c r="A60" s="3">
        <v>59</v>
      </c>
      <c r="B60" s="4" t="s">
        <v>75</v>
      </c>
      <c r="C60" s="8">
        <v>41.689019999999999</v>
      </c>
      <c r="D60" s="8">
        <v>370.46719999999999</v>
      </c>
      <c r="E60" s="8">
        <v>125.34828</v>
      </c>
    </row>
    <row r="61" spans="1:5" ht="17.5" thickBot="1" x14ac:dyDescent="0.5">
      <c r="A61" s="3">
        <v>60</v>
      </c>
      <c r="B61" s="4" t="s">
        <v>76</v>
      </c>
      <c r="C61" s="8">
        <v>41.695079999999997</v>
      </c>
      <c r="D61" s="8">
        <v>383.26010000000002</v>
      </c>
      <c r="E61" s="8">
        <v>126.60364</v>
      </c>
    </row>
    <row r="62" spans="1:5" ht="17.5" thickBot="1" x14ac:dyDescent="0.5">
      <c r="A62" s="3">
        <v>61</v>
      </c>
      <c r="B62" s="4" t="s">
        <v>77</v>
      </c>
      <c r="C62" s="8">
        <v>41.692070000000001</v>
      </c>
      <c r="D62" s="8">
        <v>395.23739999999998</v>
      </c>
      <c r="E62" s="8">
        <v>127.71629</v>
      </c>
    </row>
    <row r="63" spans="1:5" ht="17.5" thickBot="1" x14ac:dyDescent="0.5">
      <c r="A63" s="3">
        <v>62</v>
      </c>
      <c r="B63" s="4" t="s">
        <v>78</v>
      </c>
      <c r="C63" s="8">
        <v>41.690480000000001</v>
      </c>
      <c r="D63" s="8">
        <v>406.81310000000002</v>
      </c>
      <c r="E63" s="8">
        <v>128.80371</v>
      </c>
    </row>
    <row r="64" spans="1:5" ht="17.5" thickBot="1" x14ac:dyDescent="0.5">
      <c r="A64" s="3">
        <v>63</v>
      </c>
      <c r="B64" s="4" t="s">
        <v>79</v>
      </c>
      <c r="C64" s="8">
        <v>41.711039999999997</v>
      </c>
      <c r="D64" s="8">
        <v>418.37369999999999</v>
      </c>
      <c r="E64" s="8">
        <v>129.72359</v>
      </c>
    </row>
    <row r="65" spans="1:5" ht="17.5" thickBot="1" x14ac:dyDescent="0.5">
      <c r="A65" s="3">
        <v>64</v>
      </c>
      <c r="B65" s="4" t="s">
        <v>80</v>
      </c>
      <c r="C65" s="8">
        <v>41.700180000000003</v>
      </c>
      <c r="D65" s="8">
        <v>426.596</v>
      </c>
      <c r="E65" s="8">
        <v>130.39803000000001</v>
      </c>
    </row>
    <row r="66" spans="1:5" ht="17.5" thickBot="1" x14ac:dyDescent="0.5">
      <c r="A66" s="3">
        <v>65</v>
      </c>
      <c r="B66" s="4" t="s">
        <v>81</v>
      </c>
      <c r="C66" s="8">
        <v>41.673839999999998</v>
      </c>
      <c r="D66" s="8">
        <v>430.43180000000001</v>
      </c>
      <c r="E66" s="8">
        <v>130.88543000000001</v>
      </c>
    </row>
    <row r="67" spans="1:5" ht="17.5" thickBot="1" x14ac:dyDescent="0.5">
      <c r="A67" s="3">
        <v>66</v>
      </c>
      <c r="B67" s="4" t="s">
        <v>82</v>
      </c>
      <c r="C67" s="8">
        <v>41.628129999999999</v>
      </c>
      <c r="D67" s="8">
        <v>432.37880000000001</v>
      </c>
      <c r="E67" s="8">
        <v>131.11529999999999</v>
      </c>
    </row>
    <row r="68" spans="1:5" ht="17.5" thickBot="1" x14ac:dyDescent="0.5">
      <c r="A68" s="3">
        <v>67</v>
      </c>
      <c r="B68" s="4" t="s">
        <v>83</v>
      </c>
      <c r="C68" s="8">
        <v>41.557200000000002</v>
      </c>
      <c r="D68" s="8">
        <v>431.46210000000002</v>
      </c>
      <c r="E68" s="8">
        <v>131.33100999999999</v>
      </c>
    </row>
    <row r="69" spans="1:5" ht="17.5" thickBot="1" x14ac:dyDescent="0.5">
      <c r="A69" s="3">
        <v>68</v>
      </c>
      <c r="B69" s="4" t="s">
        <v>84</v>
      </c>
      <c r="C69" s="8">
        <v>41.474139999999998</v>
      </c>
      <c r="D69" s="8">
        <v>428.61360000000002</v>
      </c>
      <c r="E69" s="8">
        <v>131.32868999999999</v>
      </c>
    </row>
    <row r="70" spans="1:5" ht="17.5" thickBot="1" x14ac:dyDescent="0.5">
      <c r="A70" s="3">
        <v>69</v>
      </c>
      <c r="B70" s="4" t="s">
        <v>85</v>
      </c>
      <c r="C70" s="8">
        <v>41.400100000000002</v>
      </c>
      <c r="D70" s="8">
        <v>422.28280000000001</v>
      </c>
      <c r="E70" s="8">
        <v>131.06258</v>
      </c>
    </row>
    <row r="71" spans="1:5" ht="17.5" thickBot="1" x14ac:dyDescent="0.5">
      <c r="A71" s="3">
        <v>70</v>
      </c>
      <c r="B71" s="4" t="s">
        <v>86</v>
      </c>
      <c r="C71" s="8">
        <v>41.384650000000001</v>
      </c>
      <c r="D71" s="8">
        <v>415.93180000000001</v>
      </c>
      <c r="E71" s="8">
        <v>130.60619</v>
      </c>
    </row>
    <row r="72" spans="1:5" ht="17.5" thickBot="1" x14ac:dyDescent="0.5">
      <c r="A72" s="3">
        <v>71</v>
      </c>
      <c r="B72" s="4" t="s">
        <v>87</v>
      </c>
      <c r="C72" s="8">
        <v>41.37576</v>
      </c>
      <c r="D72" s="8">
        <v>408.44439999999997</v>
      </c>
      <c r="E72" s="8">
        <v>130.12721999999999</v>
      </c>
    </row>
    <row r="73" spans="1:5" ht="17.5" thickBot="1" x14ac:dyDescent="0.5">
      <c r="A73" s="3">
        <v>72</v>
      </c>
      <c r="B73" s="4" t="s">
        <v>88</v>
      </c>
      <c r="C73" s="8">
        <v>41.409849999999999</v>
      </c>
      <c r="D73" s="8">
        <v>400.97980000000001</v>
      </c>
      <c r="E73" s="8">
        <v>129.37975</v>
      </c>
    </row>
    <row r="74" spans="1:5" ht="17.5" thickBot="1" x14ac:dyDescent="0.5">
      <c r="A74" s="3">
        <v>73</v>
      </c>
      <c r="B74" s="4" t="s">
        <v>89</v>
      </c>
      <c r="C74" s="8">
        <v>41.510100000000001</v>
      </c>
      <c r="D74" s="8">
        <v>392.43180000000001</v>
      </c>
      <c r="E74" s="8">
        <v>128.44962000000001</v>
      </c>
    </row>
    <row r="75" spans="1:5" ht="17.5" thickBot="1" x14ac:dyDescent="0.5">
      <c r="A75" s="3">
        <v>74</v>
      </c>
      <c r="B75" s="4" t="s">
        <v>90</v>
      </c>
      <c r="C75" s="8">
        <v>41.688609999999997</v>
      </c>
      <c r="D75" s="8">
        <v>384.1035</v>
      </c>
      <c r="E75" s="8">
        <v>127.37187</v>
      </c>
    </row>
    <row r="76" spans="1:5" ht="17.5" thickBot="1" x14ac:dyDescent="0.5">
      <c r="A76" s="3">
        <v>75</v>
      </c>
      <c r="B76" s="4" t="s">
        <v>91</v>
      </c>
      <c r="C76" s="8">
        <v>41.844799999999999</v>
      </c>
      <c r="D76" s="8">
        <v>374.69439999999997</v>
      </c>
      <c r="E76" s="8">
        <v>126.26134</v>
      </c>
    </row>
    <row r="77" spans="1:5" ht="17.5" thickBot="1" x14ac:dyDescent="0.5">
      <c r="A77" s="3">
        <v>76</v>
      </c>
      <c r="B77" s="4" t="s">
        <v>92</v>
      </c>
      <c r="C77" s="8">
        <v>41.992800000000003</v>
      </c>
      <c r="D77" s="8">
        <v>363.35860000000002</v>
      </c>
      <c r="E77" s="8">
        <v>124.94486999999999</v>
      </c>
    </row>
    <row r="78" spans="1:5" ht="17.5" thickBot="1" x14ac:dyDescent="0.5">
      <c r="A78" s="3">
        <v>77</v>
      </c>
      <c r="B78" s="4" t="s">
        <v>93</v>
      </c>
      <c r="C78" s="8">
        <v>42.146459999999998</v>
      </c>
      <c r="D78" s="8">
        <v>351.13889999999998</v>
      </c>
      <c r="E78" s="8">
        <v>123.54025</v>
      </c>
    </row>
    <row r="79" spans="1:5" ht="17.5" thickBot="1" x14ac:dyDescent="0.5">
      <c r="A79" s="3">
        <v>78</v>
      </c>
      <c r="B79" s="4" t="s">
        <v>94</v>
      </c>
      <c r="C79" s="8">
        <v>42.309289999999997</v>
      </c>
      <c r="D79" s="8">
        <v>336.41160000000002</v>
      </c>
      <c r="E79" s="8">
        <v>122.00412</v>
      </c>
    </row>
    <row r="80" spans="1:5" ht="17.5" thickBot="1" x14ac:dyDescent="0.5">
      <c r="A80" s="3">
        <v>79</v>
      </c>
      <c r="B80" s="4" t="s">
        <v>95</v>
      </c>
      <c r="C80" s="8">
        <v>42.444749999999999</v>
      </c>
      <c r="D80" s="8">
        <v>319.21460000000002</v>
      </c>
      <c r="E80" s="8">
        <v>120.12027999999999</v>
      </c>
    </row>
    <row r="81" spans="1:5" ht="17.5" thickBot="1" x14ac:dyDescent="0.5">
      <c r="A81" s="3">
        <v>80</v>
      </c>
      <c r="B81" s="4" t="s">
        <v>96</v>
      </c>
      <c r="C81" s="8">
        <v>42.561839999999997</v>
      </c>
      <c r="D81" s="8">
        <v>299.2045</v>
      </c>
      <c r="E81" s="8">
        <v>117.90508</v>
      </c>
    </row>
    <row r="82" spans="1:5" ht="17.5" thickBot="1" x14ac:dyDescent="0.5">
      <c r="A82" s="3">
        <v>81</v>
      </c>
      <c r="B82" s="4" t="s">
        <v>97</v>
      </c>
      <c r="C82" s="8">
        <v>42.707749999999997</v>
      </c>
      <c r="D82" s="8">
        <v>281.00760000000002</v>
      </c>
      <c r="E82" s="8">
        <v>115.50472000000001</v>
      </c>
    </row>
    <row r="83" spans="1:5" ht="17.5" thickBot="1" x14ac:dyDescent="0.5">
      <c r="A83" s="3">
        <v>82</v>
      </c>
      <c r="B83" s="4" t="s">
        <v>98</v>
      </c>
      <c r="C83" s="8">
        <v>42.77975</v>
      </c>
      <c r="D83" s="8">
        <v>265.56310000000002</v>
      </c>
      <c r="E83" s="8">
        <v>113.39624000000001</v>
      </c>
    </row>
    <row r="84" spans="1:5" ht="17.5" thickBot="1" x14ac:dyDescent="0.5">
      <c r="A84" s="3">
        <v>83</v>
      </c>
      <c r="B84" s="4" t="s">
        <v>99</v>
      </c>
      <c r="C84" s="8">
        <v>42.847020000000001</v>
      </c>
      <c r="D84" s="8">
        <v>252.697</v>
      </c>
      <c r="E84" s="8">
        <v>111.02621000000001</v>
      </c>
    </row>
    <row r="85" spans="1:5" ht="17.5" thickBot="1" x14ac:dyDescent="0.5">
      <c r="A85" s="3">
        <v>84</v>
      </c>
      <c r="B85" s="4" t="s">
        <v>100</v>
      </c>
      <c r="C85" s="8">
        <v>42.865079999999999</v>
      </c>
      <c r="D85" s="8">
        <v>242.17169999999999</v>
      </c>
      <c r="E85" s="8">
        <v>108.66109</v>
      </c>
    </row>
    <row r="86" spans="1:5" ht="17.5" thickBot="1" x14ac:dyDescent="0.5">
      <c r="A86" s="3">
        <v>85</v>
      </c>
      <c r="B86" s="4" t="s">
        <v>101</v>
      </c>
      <c r="C86" s="8">
        <v>42.890279999999997</v>
      </c>
      <c r="D86" s="8">
        <v>235.904</v>
      </c>
      <c r="E86" s="8">
        <v>106.49023</v>
      </c>
    </row>
    <row r="87" spans="1:5" ht="17.5" thickBot="1" x14ac:dyDescent="0.5">
      <c r="A87" s="3">
        <v>86</v>
      </c>
      <c r="B87" s="4" t="s">
        <v>102</v>
      </c>
      <c r="C87" s="8">
        <v>42.851089999999999</v>
      </c>
      <c r="D87" s="8">
        <v>232.601</v>
      </c>
      <c r="E87" s="8">
        <v>104.77265</v>
      </c>
    </row>
    <row r="88" spans="1:5" ht="17.5" thickBot="1" x14ac:dyDescent="0.5">
      <c r="A88" s="3">
        <v>87</v>
      </c>
      <c r="B88" s="4" t="s">
        <v>103</v>
      </c>
      <c r="C88" s="8">
        <v>42.24427</v>
      </c>
      <c r="D88" s="8">
        <v>225.21719999999999</v>
      </c>
      <c r="E88" s="8">
        <v>103.8103</v>
      </c>
    </row>
    <row r="89" spans="1:5" ht="17.5" thickBot="1" x14ac:dyDescent="0.5">
      <c r="A89" s="3">
        <v>88</v>
      </c>
      <c r="B89" s="4" t="s">
        <v>104</v>
      </c>
      <c r="C89" s="8">
        <v>41.163159999999998</v>
      </c>
      <c r="D89" s="8">
        <v>212.899</v>
      </c>
      <c r="E89" s="8">
        <v>103.36</v>
      </c>
    </row>
    <row r="90" spans="1:5" ht="17.5" thickBot="1" x14ac:dyDescent="0.5">
      <c r="A90" s="3">
        <v>89</v>
      </c>
      <c r="B90" s="4" t="s">
        <v>105</v>
      </c>
      <c r="C90" s="8">
        <v>39.548360000000002</v>
      </c>
      <c r="D90" s="8">
        <v>196.202</v>
      </c>
      <c r="E90" s="8">
        <v>103.69029999999999</v>
      </c>
    </row>
    <row r="91" spans="1:5" ht="17.5" thickBot="1" x14ac:dyDescent="0.5">
      <c r="A91" s="3">
        <v>90</v>
      </c>
      <c r="B91" s="4" t="s">
        <v>106</v>
      </c>
      <c r="C91" s="8">
        <v>37.417270000000002</v>
      </c>
      <c r="D91" s="8">
        <v>174.88130000000001</v>
      </c>
      <c r="E91" s="8">
        <v>104.8377</v>
      </c>
    </row>
    <row r="92" spans="1:5" ht="17.5" thickBot="1" x14ac:dyDescent="0.5">
      <c r="A92" s="3">
        <v>91</v>
      </c>
      <c r="B92" s="4" t="s">
        <v>107</v>
      </c>
      <c r="C92" s="8">
        <v>34.72298</v>
      </c>
      <c r="D92" s="8">
        <v>147.75</v>
      </c>
      <c r="E92" s="8">
        <v>106.58262999999999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98"/>
  <sheetViews>
    <sheetView tabSelected="1" topLeftCell="A73" zoomScale="85" zoomScaleNormal="85" workbookViewId="0">
      <selection activeCell="M97" sqref="M97"/>
    </sheetView>
  </sheetViews>
  <sheetFormatPr defaultRowHeight="17" x14ac:dyDescent="0.45"/>
  <sheetData>
    <row r="1" spans="1:69" ht="17.5" thickBot="1" x14ac:dyDescent="0.5">
      <c r="A1" s="9" t="s">
        <v>159</v>
      </c>
      <c r="B1" s="9" t="s">
        <v>108</v>
      </c>
      <c r="C1" s="9" t="s">
        <v>109</v>
      </c>
      <c r="D1" s="9" t="s">
        <v>110</v>
      </c>
      <c r="E1" s="9" t="s">
        <v>111</v>
      </c>
      <c r="F1" s="9" t="s">
        <v>112</v>
      </c>
      <c r="G1" s="9" t="s">
        <v>113</v>
      </c>
      <c r="H1" s="9" t="s">
        <v>114</v>
      </c>
      <c r="I1" s="9" t="s">
        <v>115</v>
      </c>
      <c r="J1" s="9" t="s">
        <v>116</v>
      </c>
      <c r="K1" s="9" t="s">
        <v>117</v>
      </c>
      <c r="L1" s="9" t="s">
        <v>118</v>
      </c>
      <c r="M1" s="9" t="s">
        <v>119</v>
      </c>
      <c r="N1" s="9" t="s">
        <v>120</v>
      </c>
      <c r="O1" s="9" t="s">
        <v>121</v>
      </c>
      <c r="P1" s="9" t="s">
        <v>122</v>
      </c>
      <c r="Q1" s="9" t="s">
        <v>123</v>
      </c>
      <c r="R1" s="9" t="s">
        <v>124</v>
      </c>
      <c r="S1" s="9" t="s">
        <v>125</v>
      </c>
      <c r="T1" s="9" t="s">
        <v>126</v>
      </c>
      <c r="U1" s="9" t="s">
        <v>127</v>
      </c>
      <c r="V1" s="9" t="s">
        <v>128</v>
      </c>
      <c r="W1" s="9" t="s">
        <v>129</v>
      </c>
      <c r="X1" s="9" t="s">
        <v>130</v>
      </c>
      <c r="Y1" s="9" t="s">
        <v>131</v>
      </c>
      <c r="Z1" s="9" t="s">
        <v>132</v>
      </c>
      <c r="AA1" s="9" t="s">
        <v>133</v>
      </c>
      <c r="AB1" s="9" t="s">
        <v>134</v>
      </c>
      <c r="AC1" s="9" t="s">
        <v>135</v>
      </c>
      <c r="AD1" s="9" t="s">
        <v>136</v>
      </c>
      <c r="AE1" s="9" t="s">
        <v>137</v>
      </c>
      <c r="AF1" s="9" t="s">
        <v>138</v>
      </c>
      <c r="AG1" s="9" t="s">
        <v>139</v>
      </c>
      <c r="AH1" s="9" t="s">
        <v>140</v>
      </c>
      <c r="AI1" s="9" t="s">
        <v>141</v>
      </c>
      <c r="AJ1" s="9" t="s">
        <v>142</v>
      </c>
      <c r="AK1" s="9" t="s">
        <v>143</v>
      </c>
      <c r="AL1" s="9" t="s">
        <v>144</v>
      </c>
      <c r="AM1" s="9" t="s">
        <v>145</v>
      </c>
      <c r="AN1" s="9" t="s">
        <v>146</v>
      </c>
      <c r="AO1" s="9" t="s">
        <v>147</v>
      </c>
      <c r="AP1" s="9" t="s">
        <v>148</v>
      </c>
      <c r="AQ1" s="9" t="s">
        <v>149</v>
      </c>
      <c r="AR1" s="9" t="s">
        <v>150</v>
      </c>
      <c r="AS1" s="9" t="s">
        <v>151</v>
      </c>
      <c r="AT1" s="9" t="s">
        <v>152</v>
      </c>
      <c r="AU1" s="9" t="s">
        <v>153</v>
      </c>
      <c r="AV1" s="9" t="s">
        <v>154</v>
      </c>
      <c r="AW1" s="9" t="s">
        <v>155</v>
      </c>
      <c r="AX1" s="9" t="s">
        <v>156</v>
      </c>
      <c r="AY1" s="9" t="s">
        <v>157</v>
      </c>
      <c r="AZ1" s="9" t="s">
        <v>160</v>
      </c>
      <c r="BA1" s="9" t="s">
        <v>161</v>
      </c>
      <c r="BB1" s="9" t="s">
        <v>162</v>
      </c>
      <c r="BC1" s="9" t="s">
        <v>163</v>
      </c>
      <c r="BD1" s="9" t="s">
        <v>164</v>
      </c>
      <c r="BE1" s="9" t="s">
        <v>165</v>
      </c>
      <c r="BF1" s="9" t="s">
        <v>166</v>
      </c>
      <c r="BG1" s="9" t="s">
        <v>167</v>
      </c>
      <c r="BH1" s="9" t="s">
        <v>168</v>
      </c>
      <c r="BI1" s="9" t="s">
        <v>169</v>
      </c>
      <c r="BJ1" s="9" t="s">
        <v>170</v>
      </c>
      <c r="BK1" s="9" t="s">
        <v>171</v>
      </c>
      <c r="BL1" s="9" t="s">
        <v>172</v>
      </c>
      <c r="BM1" s="9" t="s">
        <v>173</v>
      </c>
      <c r="BN1" s="9" t="s">
        <v>174</v>
      </c>
      <c r="BO1" s="9" t="s">
        <v>175</v>
      </c>
    </row>
    <row r="2" spans="1:69" ht="17.5" thickBot="1" x14ac:dyDescent="0.5">
      <c r="A2" s="5">
        <v>1</v>
      </c>
      <c r="B2" s="6">
        <v>38.21</v>
      </c>
      <c r="C2" s="6">
        <v>34.39</v>
      </c>
      <c r="D2" s="6">
        <v>46.56</v>
      </c>
      <c r="E2" s="6">
        <v>49.85</v>
      </c>
      <c r="F2" s="6">
        <v>52.28</v>
      </c>
      <c r="G2" s="6">
        <v>42</v>
      </c>
      <c r="H2" s="6">
        <v>40.049999999999997</v>
      </c>
      <c r="I2" s="6">
        <v>50.65</v>
      </c>
      <c r="J2" s="6">
        <v>41.82</v>
      </c>
      <c r="K2" s="6">
        <v>46.47</v>
      </c>
      <c r="L2" s="6">
        <v>49.73</v>
      </c>
      <c r="M2" s="6">
        <v>36.909999999999997</v>
      </c>
      <c r="N2" s="6">
        <v>33.799999999999997</v>
      </c>
      <c r="O2" s="6">
        <v>45.81</v>
      </c>
      <c r="P2" s="6">
        <v>48.7</v>
      </c>
      <c r="Q2" s="6">
        <v>50.56</v>
      </c>
      <c r="R2" s="6">
        <v>42.02</v>
      </c>
      <c r="S2" s="6">
        <v>37.32</v>
      </c>
      <c r="T2" s="6">
        <v>49.8</v>
      </c>
      <c r="U2" s="6">
        <v>40.01</v>
      </c>
      <c r="V2" s="6">
        <v>47.75</v>
      </c>
      <c r="W2" s="6">
        <v>50.32</v>
      </c>
      <c r="X2" s="6">
        <v>37.67</v>
      </c>
      <c r="Y2" s="6">
        <v>35.67</v>
      </c>
      <c r="Z2" s="6">
        <v>45.74</v>
      </c>
      <c r="AA2" s="6">
        <v>49</v>
      </c>
      <c r="AB2" s="6">
        <v>53.03</v>
      </c>
      <c r="AC2" s="6">
        <v>43.54</v>
      </c>
      <c r="AD2" s="6">
        <v>42.36</v>
      </c>
      <c r="AE2" s="6">
        <v>49.87</v>
      </c>
      <c r="AF2" s="6">
        <v>42.67</v>
      </c>
      <c r="AG2" s="6">
        <v>46.26</v>
      </c>
      <c r="AH2" s="6">
        <v>48.95</v>
      </c>
      <c r="AI2" s="6">
        <v>36.89</v>
      </c>
      <c r="AJ2" s="6">
        <v>36.33</v>
      </c>
      <c r="AK2" s="6">
        <v>45.4</v>
      </c>
      <c r="AL2" s="6">
        <v>49.05</v>
      </c>
      <c r="AM2" s="6">
        <v>51.89</v>
      </c>
      <c r="AN2" s="6">
        <v>44.15</v>
      </c>
      <c r="AO2" s="6">
        <v>42.56</v>
      </c>
      <c r="AP2" s="6">
        <v>49.74</v>
      </c>
      <c r="AQ2" s="6">
        <v>41.66</v>
      </c>
      <c r="AR2" s="6">
        <v>47.22</v>
      </c>
      <c r="AS2" s="6">
        <v>48.9</v>
      </c>
      <c r="AT2" s="6">
        <v>37.92</v>
      </c>
      <c r="AU2" s="6">
        <v>35.090000000000003</v>
      </c>
      <c r="AV2" s="6">
        <v>44.95</v>
      </c>
      <c r="AW2" s="6">
        <v>51.75</v>
      </c>
      <c r="AX2" s="6">
        <v>51.77</v>
      </c>
      <c r="AY2" s="6">
        <v>43.48</v>
      </c>
      <c r="AZ2" s="6">
        <v>41.3</v>
      </c>
      <c r="BA2" s="6">
        <v>50.64</v>
      </c>
      <c r="BB2" s="6">
        <v>41.96</v>
      </c>
      <c r="BC2" s="6">
        <v>48.26</v>
      </c>
      <c r="BD2" s="6">
        <v>49.31</v>
      </c>
      <c r="BE2" s="6">
        <v>37.5</v>
      </c>
      <c r="BF2" s="6">
        <v>34.909999999999997</v>
      </c>
      <c r="BG2" s="6">
        <v>45.47</v>
      </c>
      <c r="BH2" s="6">
        <v>50.02</v>
      </c>
      <c r="BI2" s="6">
        <v>51.91</v>
      </c>
      <c r="BJ2" s="6">
        <v>43.34</v>
      </c>
      <c r="BK2" s="6">
        <v>39.89</v>
      </c>
      <c r="BL2" s="6">
        <v>49.75</v>
      </c>
      <c r="BM2" s="6">
        <v>39.83</v>
      </c>
      <c r="BN2" s="6">
        <v>47.77</v>
      </c>
      <c r="BO2" s="6">
        <v>49.53</v>
      </c>
    </row>
    <row r="3" spans="1:69" ht="17.5" thickBot="1" x14ac:dyDescent="0.5">
      <c r="A3" s="5">
        <v>2</v>
      </c>
      <c r="B3" s="6">
        <v>36.909999999999997</v>
      </c>
      <c r="C3" s="6">
        <v>33.799999999999997</v>
      </c>
      <c r="D3" s="6">
        <v>45.81</v>
      </c>
      <c r="E3" s="6">
        <v>48.7</v>
      </c>
      <c r="F3" s="6">
        <v>50.56</v>
      </c>
      <c r="G3" s="6">
        <v>42.02</v>
      </c>
      <c r="H3" s="6">
        <v>37.32</v>
      </c>
      <c r="I3" s="6">
        <v>49.8</v>
      </c>
      <c r="J3" s="6">
        <v>40.01</v>
      </c>
      <c r="K3" s="6">
        <v>47.75</v>
      </c>
      <c r="L3" s="6">
        <v>50.32</v>
      </c>
      <c r="M3" s="6">
        <v>37.67</v>
      </c>
      <c r="N3" s="6">
        <v>35.67</v>
      </c>
      <c r="O3" s="6">
        <v>45.74</v>
      </c>
      <c r="P3" s="6">
        <v>49</v>
      </c>
      <c r="Q3" s="6">
        <v>53.03</v>
      </c>
      <c r="R3" s="6">
        <v>43.54</v>
      </c>
      <c r="S3" s="6">
        <v>42.36</v>
      </c>
      <c r="T3" s="6">
        <v>49.87</v>
      </c>
      <c r="U3" s="6">
        <v>42.67</v>
      </c>
      <c r="V3" s="6">
        <v>46.26</v>
      </c>
      <c r="W3" s="6">
        <v>48.95</v>
      </c>
      <c r="X3" s="6">
        <v>36.89</v>
      </c>
      <c r="Y3" s="6">
        <v>36.33</v>
      </c>
      <c r="Z3" s="6">
        <v>45.4</v>
      </c>
      <c r="AA3" s="6">
        <v>49.05</v>
      </c>
      <c r="AB3" s="6">
        <v>51.89</v>
      </c>
      <c r="AC3" s="6">
        <v>44.15</v>
      </c>
      <c r="AD3" s="6">
        <v>42.56</v>
      </c>
      <c r="AE3" s="6">
        <v>49.74</v>
      </c>
      <c r="AF3" s="6">
        <v>41.66</v>
      </c>
      <c r="AG3" s="6">
        <v>47.22</v>
      </c>
      <c r="AH3" s="6">
        <v>48.9</v>
      </c>
      <c r="AI3" s="6">
        <v>37.92</v>
      </c>
      <c r="AJ3" s="6">
        <v>35.090000000000003</v>
      </c>
      <c r="AK3" s="6">
        <v>44.95</v>
      </c>
      <c r="AL3" s="6">
        <v>51.75</v>
      </c>
      <c r="AM3" s="6">
        <v>51.77</v>
      </c>
      <c r="AN3" s="6">
        <v>43.48</v>
      </c>
      <c r="AO3" s="6">
        <v>41.3</v>
      </c>
      <c r="AP3" s="6">
        <v>50.64</v>
      </c>
      <c r="AQ3" s="6">
        <v>41.96</v>
      </c>
      <c r="AR3" s="6">
        <v>48.26</v>
      </c>
      <c r="AS3" s="6">
        <v>49.31</v>
      </c>
      <c r="AT3" s="6">
        <v>37.5</v>
      </c>
      <c r="AU3" s="6">
        <v>34.909999999999997</v>
      </c>
      <c r="AV3" s="6">
        <v>45.47</v>
      </c>
      <c r="AW3" s="6">
        <v>50.02</v>
      </c>
      <c r="AX3" s="6">
        <v>51.91</v>
      </c>
      <c r="AY3" s="6">
        <v>43.34</v>
      </c>
      <c r="AZ3" s="6">
        <v>39.89</v>
      </c>
      <c r="BA3" s="6">
        <v>49.75</v>
      </c>
      <c r="BB3" s="6">
        <v>39.83</v>
      </c>
      <c r="BC3" s="6">
        <v>47.77</v>
      </c>
      <c r="BD3" s="6">
        <v>49.53</v>
      </c>
      <c r="BE3" s="6">
        <v>35.97</v>
      </c>
      <c r="BF3" s="6">
        <v>39.43</v>
      </c>
      <c r="BG3" s="6">
        <v>45.95</v>
      </c>
      <c r="BH3" s="6">
        <v>49.13</v>
      </c>
      <c r="BI3" s="6">
        <v>51.73</v>
      </c>
      <c r="BJ3" s="6">
        <v>43.82</v>
      </c>
      <c r="BK3" s="6">
        <v>41.73</v>
      </c>
      <c r="BL3" s="6">
        <v>42.45</v>
      </c>
      <c r="BM3" s="6">
        <v>47</v>
      </c>
      <c r="BN3" s="6">
        <v>40.54</v>
      </c>
      <c r="BO3" s="6">
        <v>46.57</v>
      </c>
    </row>
    <row r="4" spans="1:69" ht="17.5" thickBot="1" x14ac:dyDescent="0.5">
      <c r="A4" s="5">
        <v>3</v>
      </c>
      <c r="B4" s="6">
        <v>37.67</v>
      </c>
      <c r="C4" s="6">
        <v>35.67</v>
      </c>
      <c r="D4" s="6">
        <v>45.74</v>
      </c>
      <c r="E4" s="6">
        <v>49</v>
      </c>
      <c r="F4" s="6">
        <v>53.03</v>
      </c>
      <c r="G4" s="6">
        <v>43.54</v>
      </c>
      <c r="H4" s="6">
        <v>42.36</v>
      </c>
      <c r="I4" s="6">
        <v>49.87</v>
      </c>
      <c r="J4" s="6">
        <v>42.67</v>
      </c>
      <c r="K4" s="6">
        <v>46.26</v>
      </c>
      <c r="L4" s="6">
        <v>48.95</v>
      </c>
      <c r="M4" s="6">
        <v>36.89</v>
      </c>
      <c r="N4" s="6">
        <v>36.33</v>
      </c>
      <c r="O4" s="6">
        <v>45.4</v>
      </c>
      <c r="P4" s="6">
        <v>49.05</v>
      </c>
      <c r="Q4" s="6">
        <v>51.89</v>
      </c>
      <c r="R4" s="6">
        <v>44.15</v>
      </c>
      <c r="S4" s="6">
        <v>42.56</v>
      </c>
      <c r="T4" s="6">
        <v>49.74</v>
      </c>
      <c r="U4" s="6">
        <v>41.66</v>
      </c>
      <c r="V4" s="6">
        <v>47.22</v>
      </c>
      <c r="W4" s="6">
        <v>48.9</v>
      </c>
      <c r="X4" s="6">
        <v>37.92</v>
      </c>
      <c r="Y4" s="6">
        <v>35.090000000000003</v>
      </c>
      <c r="Z4" s="6">
        <v>44.95</v>
      </c>
      <c r="AA4" s="6">
        <v>51.75</v>
      </c>
      <c r="AB4" s="6">
        <v>51.77</v>
      </c>
      <c r="AC4" s="6">
        <v>43.48</v>
      </c>
      <c r="AD4" s="6">
        <v>41.3</v>
      </c>
      <c r="AE4" s="6">
        <v>50.64</v>
      </c>
      <c r="AF4" s="6">
        <v>41.96</v>
      </c>
      <c r="AG4" s="6">
        <v>48.26</v>
      </c>
      <c r="AH4" s="6">
        <v>49.31</v>
      </c>
      <c r="AI4" s="6">
        <v>37.5</v>
      </c>
      <c r="AJ4" s="6">
        <v>34.909999999999997</v>
      </c>
      <c r="AK4" s="6">
        <v>45.47</v>
      </c>
      <c r="AL4" s="6">
        <v>50.02</v>
      </c>
      <c r="AM4" s="6">
        <v>51.91</v>
      </c>
      <c r="AN4" s="6">
        <v>43.34</v>
      </c>
      <c r="AO4" s="6">
        <v>39.89</v>
      </c>
      <c r="AP4" s="6">
        <v>49.75</v>
      </c>
      <c r="AQ4" s="6">
        <v>39.83</v>
      </c>
      <c r="AR4" s="6">
        <v>47.77</v>
      </c>
      <c r="AS4" s="6">
        <v>49.53</v>
      </c>
      <c r="AT4" s="6">
        <v>35.97</v>
      </c>
      <c r="AU4" s="6">
        <v>39.43</v>
      </c>
      <c r="AV4" s="6">
        <v>45.95</v>
      </c>
      <c r="AW4" s="6">
        <v>49.13</v>
      </c>
      <c r="AX4" s="6">
        <v>51.73</v>
      </c>
      <c r="AY4" s="6">
        <v>43.82</v>
      </c>
      <c r="AZ4" s="6">
        <v>41.73</v>
      </c>
      <c r="BA4" s="6">
        <v>42.45</v>
      </c>
      <c r="BB4" s="6">
        <v>47</v>
      </c>
      <c r="BC4" s="6">
        <v>40.54</v>
      </c>
      <c r="BD4" s="6">
        <v>46.57</v>
      </c>
      <c r="BE4" s="6">
        <v>32.53</v>
      </c>
      <c r="BF4" s="6">
        <v>37.840000000000003</v>
      </c>
      <c r="BG4" s="6">
        <v>44.49</v>
      </c>
      <c r="BH4" s="6">
        <v>49</v>
      </c>
      <c r="BI4" s="6">
        <v>51.15</v>
      </c>
      <c r="BJ4" s="6">
        <v>41.79</v>
      </c>
      <c r="BK4" s="6">
        <v>40.130000000000003</v>
      </c>
      <c r="BL4" s="6">
        <v>42.51</v>
      </c>
      <c r="BM4" s="6">
        <v>44.85</v>
      </c>
      <c r="BN4" s="6">
        <v>39.89</v>
      </c>
      <c r="BO4" s="6">
        <v>40.98</v>
      </c>
    </row>
    <row r="5" spans="1:69" ht="17.5" thickBot="1" x14ac:dyDescent="0.5">
      <c r="A5" s="5">
        <v>4</v>
      </c>
      <c r="B5" s="6">
        <v>36.89</v>
      </c>
      <c r="C5" s="6">
        <v>36.33</v>
      </c>
      <c r="D5" s="6">
        <v>45.4</v>
      </c>
      <c r="E5" s="6">
        <v>49.05</v>
      </c>
      <c r="F5" s="6">
        <v>51.89</v>
      </c>
      <c r="G5" s="6">
        <v>44.15</v>
      </c>
      <c r="H5" s="6">
        <v>42.56</v>
      </c>
      <c r="I5" s="6">
        <v>49.74</v>
      </c>
      <c r="J5" s="6">
        <v>41.66</v>
      </c>
      <c r="K5" s="6">
        <v>47.22</v>
      </c>
      <c r="L5" s="6">
        <v>48.9</v>
      </c>
      <c r="M5" s="6">
        <v>37.92</v>
      </c>
      <c r="N5" s="6">
        <v>35.090000000000003</v>
      </c>
      <c r="O5" s="6">
        <v>44.95</v>
      </c>
      <c r="P5" s="6">
        <v>51.75</v>
      </c>
      <c r="Q5" s="6">
        <v>51.77</v>
      </c>
      <c r="R5" s="6">
        <v>43.48</v>
      </c>
      <c r="S5" s="6">
        <v>41.3</v>
      </c>
      <c r="T5" s="6">
        <v>50.64</v>
      </c>
      <c r="U5" s="6">
        <v>41.96</v>
      </c>
      <c r="V5" s="6">
        <v>48.26</v>
      </c>
      <c r="W5" s="6">
        <v>49.31</v>
      </c>
      <c r="X5" s="6">
        <v>37.5</v>
      </c>
      <c r="Y5" s="6">
        <v>34.909999999999997</v>
      </c>
      <c r="Z5" s="6">
        <v>45.47</v>
      </c>
      <c r="AA5" s="6">
        <v>50.02</v>
      </c>
      <c r="AB5" s="6">
        <v>51.91</v>
      </c>
      <c r="AC5" s="6">
        <v>43.34</v>
      </c>
      <c r="AD5" s="6">
        <v>39.89</v>
      </c>
      <c r="AE5" s="6">
        <v>49.75</v>
      </c>
      <c r="AF5" s="6">
        <v>39.83</v>
      </c>
      <c r="AG5" s="6">
        <v>47.77</v>
      </c>
      <c r="AH5" s="6">
        <v>49.53</v>
      </c>
      <c r="AI5" s="6">
        <v>35.97</v>
      </c>
      <c r="AJ5" s="6">
        <v>39.43</v>
      </c>
      <c r="AK5" s="6">
        <v>45.95</v>
      </c>
      <c r="AL5" s="6">
        <v>49.13</v>
      </c>
      <c r="AM5" s="6">
        <v>51.73</v>
      </c>
      <c r="AN5" s="6">
        <v>43.82</v>
      </c>
      <c r="AO5" s="6">
        <v>41.73</v>
      </c>
      <c r="AP5" s="6">
        <v>42.45</v>
      </c>
      <c r="AQ5" s="6">
        <v>47</v>
      </c>
      <c r="AR5" s="6">
        <v>40.54</v>
      </c>
      <c r="AS5" s="6">
        <v>46.57</v>
      </c>
      <c r="AT5" s="6">
        <v>32.53</v>
      </c>
      <c r="AU5" s="6">
        <v>37.840000000000003</v>
      </c>
      <c r="AV5" s="6">
        <v>44.49</v>
      </c>
      <c r="AW5" s="6">
        <v>49</v>
      </c>
      <c r="AX5" s="6">
        <v>51.15</v>
      </c>
      <c r="AY5" s="6">
        <v>41.79</v>
      </c>
      <c r="AZ5" s="6">
        <v>40.130000000000003</v>
      </c>
      <c r="BA5" s="6">
        <v>42.51</v>
      </c>
      <c r="BB5" s="6">
        <v>44.85</v>
      </c>
      <c r="BC5" s="6">
        <v>39.89</v>
      </c>
      <c r="BD5" s="6">
        <v>40.98</v>
      </c>
      <c r="BE5" s="6">
        <v>33.119999999999997</v>
      </c>
      <c r="BF5" s="6">
        <v>39.42</v>
      </c>
      <c r="BG5" s="6">
        <v>45.83</v>
      </c>
      <c r="BH5" s="6">
        <v>47.91</v>
      </c>
      <c r="BI5" s="6">
        <v>52.19</v>
      </c>
      <c r="BJ5" s="6">
        <v>39.200000000000003</v>
      </c>
      <c r="BK5" s="6">
        <v>41.96</v>
      </c>
      <c r="BL5" s="6">
        <v>43.92</v>
      </c>
      <c r="BM5" s="6">
        <v>46.11</v>
      </c>
      <c r="BN5" s="6">
        <v>38.49</v>
      </c>
      <c r="BO5" s="6">
        <v>44.73</v>
      </c>
    </row>
    <row r="6" spans="1:69" ht="17.5" thickBot="1" x14ac:dyDescent="0.5">
      <c r="A6" s="5">
        <v>5</v>
      </c>
      <c r="B6" s="6">
        <v>37.92</v>
      </c>
      <c r="C6" s="6">
        <v>35.090000000000003</v>
      </c>
      <c r="D6" s="6">
        <v>44.95</v>
      </c>
      <c r="E6" s="6">
        <v>51.75</v>
      </c>
      <c r="F6" s="6">
        <v>51.77</v>
      </c>
      <c r="G6" s="6">
        <v>43.48</v>
      </c>
      <c r="H6" s="6">
        <v>41.3</v>
      </c>
      <c r="I6" s="6">
        <v>50.64</v>
      </c>
      <c r="J6" s="6">
        <v>41.96</v>
      </c>
      <c r="K6" s="6">
        <v>48.26</v>
      </c>
      <c r="L6" s="6">
        <v>49.31</v>
      </c>
      <c r="M6" s="6">
        <v>37.5</v>
      </c>
      <c r="N6" s="6">
        <v>34.909999999999997</v>
      </c>
      <c r="O6" s="6">
        <v>45.47</v>
      </c>
      <c r="P6" s="6">
        <v>50.02</v>
      </c>
      <c r="Q6" s="6">
        <v>51.91</v>
      </c>
      <c r="R6" s="6">
        <v>43.34</v>
      </c>
      <c r="S6" s="6">
        <v>39.89</v>
      </c>
      <c r="T6" s="6">
        <v>49.75</v>
      </c>
      <c r="U6" s="6">
        <v>39.83</v>
      </c>
      <c r="V6" s="6">
        <v>47.77</v>
      </c>
      <c r="W6" s="6">
        <v>49.53</v>
      </c>
      <c r="X6" s="6">
        <v>35.97</v>
      </c>
      <c r="Y6" s="6">
        <v>39.43</v>
      </c>
      <c r="Z6" s="6">
        <v>45.95</v>
      </c>
      <c r="AA6" s="6">
        <v>49.13</v>
      </c>
      <c r="AB6" s="6">
        <v>51.73</v>
      </c>
      <c r="AC6" s="6">
        <v>43.82</v>
      </c>
      <c r="AD6" s="6">
        <v>41.73</v>
      </c>
      <c r="AE6" s="6">
        <v>42.45</v>
      </c>
      <c r="AF6" s="6">
        <v>47</v>
      </c>
      <c r="AG6" s="6">
        <v>40.54</v>
      </c>
      <c r="AH6" s="6">
        <v>46.57</v>
      </c>
      <c r="AI6" s="6">
        <v>32.53</v>
      </c>
      <c r="AJ6" s="6">
        <v>37.840000000000003</v>
      </c>
      <c r="AK6" s="6">
        <v>44.49</v>
      </c>
      <c r="AL6" s="6">
        <v>49</v>
      </c>
      <c r="AM6" s="6">
        <v>51.15</v>
      </c>
      <c r="AN6" s="6">
        <v>41.79</v>
      </c>
      <c r="AO6" s="6">
        <v>40.130000000000003</v>
      </c>
      <c r="AP6" s="6">
        <v>42.51</v>
      </c>
      <c r="AQ6" s="6">
        <v>44.85</v>
      </c>
      <c r="AR6" s="6">
        <v>39.89</v>
      </c>
      <c r="AS6" s="6">
        <v>40.98</v>
      </c>
      <c r="AT6" s="6">
        <v>33.119999999999997</v>
      </c>
      <c r="AU6" s="6">
        <v>39.42</v>
      </c>
      <c r="AV6" s="6">
        <v>45.83</v>
      </c>
      <c r="AW6" s="6">
        <v>47.91</v>
      </c>
      <c r="AX6" s="6">
        <v>52.19</v>
      </c>
      <c r="AY6" s="6">
        <v>39.200000000000003</v>
      </c>
      <c r="AZ6" s="6">
        <v>41.96</v>
      </c>
      <c r="BA6" s="6">
        <v>43.92</v>
      </c>
      <c r="BB6" s="6">
        <v>46.11</v>
      </c>
      <c r="BC6" s="6">
        <v>38.49</v>
      </c>
      <c r="BD6" s="6">
        <v>44.73</v>
      </c>
      <c r="BE6" s="6">
        <v>33.89</v>
      </c>
      <c r="BF6" s="6">
        <v>37.99</v>
      </c>
      <c r="BG6" s="6">
        <v>46.69</v>
      </c>
      <c r="BH6" s="6">
        <v>47.64</v>
      </c>
      <c r="BI6" s="6">
        <v>51.17</v>
      </c>
      <c r="BJ6" s="6">
        <v>38.31</v>
      </c>
      <c r="BK6" s="6">
        <v>38.97</v>
      </c>
      <c r="BL6" s="6">
        <v>41.44</v>
      </c>
      <c r="BM6" s="6">
        <v>45.08</v>
      </c>
      <c r="BN6" s="6">
        <v>39.19</v>
      </c>
      <c r="BO6" s="6">
        <v>42.42</v>
      </c>
    </row>
    <row r="7" spans="1:69" ht="17.5" thickBot="1" x14ac:dyDescent="0.5">
      <c r="A7" s="5">
        <v>6</v>
      </c>
      <c r="B7" s="6">
        <v>37.5</v>
      </c>
      <c r="C7" s="6">
        <v>34.909999999999997</v>
      </c>
      <c r="D7" s="6">
        <v>45.47</v>
      </c>
      <c r="E7" s="6">
        <v>50.02</v>
      </c>
      <c r="F7" s="6">
        <v>51.91</v>
      </c>
      <c r="G7" s="6">
        <v>43.34</v>
      </c>
      <c r="H7" s="6">
        <v>39.89</v>
      </c>
      <c r="I7" s="6">
        <v>49.75</v>
      </c>
      <c r="J7" s="6">
        <v>39.83</v>
      </c>
      <c r="K7" s="6">
        <v>47.77</v>
      </c>
      <c r="L7" s="6">
        <v>49.53</v>
      </c>
      <c r="M7" s="6">
        <v>35.97</v>
      </c>
      <c r="N7" s="6">
        <v>39.43</v>
      </c>
      <c r="O7" s="6">
        <v>45.95</v>
      </c>
      <c r="P7" s="6">
        <v>49.13</v>
      </c>
      <c r="Q7" s="6">
        <v>51.73</v>
      </c>
      <c r="R7" s="6">
        <v>43.82</v>
      </c>
      <c r="S7" s="6">
        <v>41.73</v>
      </c>
      <c r="T7" s="6">
        <v>42.45</v>
      </c>
      <c r="U7" s="6">
        <v>47</v>
      </c>
      <c r="V7" s="6">
        <v>40.54</v>
      </c>
      <c r="W7" s="6">
        <v>46.57</v>
      </c>
      <c r="X7" s="6">
        <v>32.53</v>
      </c>
      <c r="Y7" s="6">
        <v>37.840000000000003</v>
      </c>
      <c r="Z7" s="6">
        <v>44.49</v>
      </c>
      <c r="AA7" s="6">
        <v>49</v>
      </c>
      <c r="AB7" s="6">
        <v>51.15</v>
      </c>
      <c r="AC7" s="6">
        <v>41.79</v>
      </c>
      <c r="AD7" s="6">
        <v>40.130000000000003</v>
      </c>
      <c r="AE7" s="6">
        <v>42.51</v>
      </c>
      <c r="AF7" s="6">
        <v>44.85</v>
      </c>
      <c r="AG7" s="6">
        <v>39.89</v>
      </c>
      <c r="AH7" s="6">
        <v>40.98</v>
      </c>
      <c r="AI7" s="6">
        <v>33.119999999999997</v>
      </c>
      <c r="AJ7" s="6">
        <v>39.42</v>
      </c>
      <c r="AK7" s="6">
        <v>45.83</v>
      </c>
      <c r="AL7" s="6">
        <v>47.91</v>
      </c>
      <c r="AM7" s="6">
        <v>52.19</v>
      </c>
      <c r="AN7" s="6">
        <v>39.200000000000003</v>
      </c>
      <c r="AO7" s="6">
        <v>41.96</v>
      </c>
      <c r="AP7" s="6">
        <v>43.92</v>
      </c>
      <c r="AQ7" s="6">
        <v>46.11</v>
      </c>
      <c r="AR7" s="6">
        <v>38.49</v>
      </c>
      <c r="AS7" s="6">
        <v>44.73</v>
      </c>
      <c r="AT7" s="6">
        <v>33.89</v>
      </c>
      <c r="AU7" s="6">
        <v>37.99</v>
      </c>
      <c r="AV7" s="6">
        <v>46.69</v>
      </c>
      <c r="AW7" s="6">
        <v>47.64</v>
      </c>
      <c r="AX7" s="6">
        <v>51.17</v>
      </c>
      <c r="AY7" s="6">
        <v>38.31</v>
      </c>
      <c r="AZ7" s="6">
        <v>38.97</v>
      </c>
      <c r="BA7" s="6">
        <v>41.44</v>
      </c>
      <c r="BB7" s="6">
        <v>45.08</v>
      </c>
      <c r="BC7" s="6">
        <v>39.19</v>
      </c>
      <c r="BD7" s="6">
        <v>42.42</v>
      </c>
      <c r="BE7" s="6">
        <v>34.340000000000003</v>
      </c>
      <c r="BF7" s="6">
        <v>38.44</v>
      </c>
      <c r="BG7" s="6">
        <v>45.55</v>
      </c>
      <c r="BH7" s="6">
        <v>48.28</v>
      </c>
      <c r="BI7" s="6">
        <v>51.27</v>
      </c>
      <c r="BJ7" s="6">
        <v>41.32</v>
      </c>
      <c r="BK7" s="6">
        <v>42.1</v>
      </c>
      <c r="BL7" s="6">
        <v>43.95</v>
      </c>
      <c r="BM7" s="6">
        <v>47.75</v>
      </c>
      <c r="BN7" s="6">
        <v>39.07</v>
      </c>
      <c r="BO7" s="6">
        <v>45.57</v>
      </c>
      <c r="BP7">
        <f>AVERAGE(B2:BO7)</f>
        <v>44.048535353535328</v>
      </c>
      <c r="BQ7" s="12">
        <v>0.25</v>
      </c>
    </row>
    <row r="8" spans="1:69" ht="17.5" thickBot="1" x14ac:dyDescent="0.5">
      <c r="A8" s="5">
        <v>7</v>
      </c>
      <c r="B8" s="6">
        <v>35.97</v>
      </c>
      <c r="C8" s="6">
        <v>39.43</v>
      </c>
      <c r="D8" s="6">
        <v>45.95</v>
      </c>
      <c r="E8" s="6">
        <v>49.13</v>
      </c>
      <c r="F8" s="6">
        <v>51.73</v>
      </c>
      <c r="G8" s="6">
        <v>43.82</v>
      </c>
      <c r="H8" s="6">
        <v>41.73</v>
      </c>
      <c r="I8" s="6">
        <v>42.45</v>
      </c>
      <c r="J8" s="6">
        <v>47</v>
      </c>
      <c r="K8" s="6">
        <v>40.54</v>
      </c>
      <c r="L8" s="6">
        <v>46.57</v>
      </c>
      <c r="M8" s="6">
        <v>32.53</v>
      </c>
      <c r="N8" s="6">
        <v>37.840000000000003</v>
      </c>
      <c r="O8" s="6">
        <v>44.49</v>
      </c>
      <c r="P8" s="6">
        <v>49</v>
      </c>
      <c r="Q8" s="6">
        <v>51.15</v>
      </c>
      <c r="R8" s="6">
        <v>41.79</v>
      </c>
      <c r="S8" s="6">
        <v>40.130000000000003</v>
      </c>
      <c r="T8" s="6">
        <v>42.51</v>
      </c>
      <c r="U8" s="6">
        <v>44.85</v>
      </c>
      <c r="V8" s="6">
        <v>39.89</v>
      </c>
      <c r="W8" s="6">
        <v>40.98</v>
      </c>
      <c r="X8" s="6">
        <v>33.119999999999997</v>
      </c>
      <c r="Y8" s="6">
        <v>39.42</v>
      </c>
      <c r="Z8" s="6">
        <v>45.83</v>
      </c>
      <c r="AA8" s="6">
        <v>47.91</v>
      </c>
      <c r="AB8" s="6">
        <v>52.19</v>
      </c>
      <c r="AC8" s="6">
        <v>39.200000000000003</v>
      </c>
      <c r="AD8" s="6">
        <v>41.96</v>
      </c>
      <c r="AE8" s="6">
        <v>43.92</v>
      </c>
      <c r="AF8" s="6">
        <v>46.11</v>
      </c>
      <c r="AG8" s="6">
        <v>38.49</v>
      </c>
      <c r="AH8" s="6">
        <v>44.73</v>
      </c>
      <c r="AI8" s="6">
        <v>33.89</v>
      </c>
      <c r="AJ8" s="6">
        <v>37.99</v>
      </c>
      <c r="AK8" s="6">
        <v>46.69</v>
      </c>
      <c r="AL8" s="6">
        <v>47.64</v>
      </c>
      <c r="AM8" s="6">
        <v>51.17</v>
      </c>
      <c r="AN8" s="6">
        <v>38.31</v>
      </c>
      <c r="AO8" s="6">
        <v>38.97</v>
      </c>
      <c r="AP8" s="6">
        <v>41.44</v>
      </c>
      <c r="AQ8" s="6">
        <v>45.08</v>
      </c>
      <c r="AR8" s="6">
        <v>39.19</v>
      </c>
      <c r="AS8" s="6">
        <v>42.42</v>
      </c>
      <c r="AT8" s="6">
        <v>34.340000000000003</v>
      </c>
      <c r="AU8" s="6">
        <v>38.44</v>
      </c>
      <c r="AV8" s="6">
        <v>45.55</v>
      </c>
      <c r="AW8" s="6">
        <v>48.28</v>
      </c>
      <c r="AX8" s="6">
        <v>51.27</v>
      </c>
      <c r="AY8" s="6">
        <v>41.32</v>
      </c>
      <c r="AZ8" s="6">
        <v>42.1</v>
      </c>
      <c r="BA8" s="6">
        <v>43.95</v>
      </c>
      <c r="BB8" s="6">
        <v>47.75</v>
      </c>
      <c r="BC8" s="6">
        <v>39.07</v>
      </c>
      <c r="BD8" s="6">
        <v>45.57</v>
      </c>
      <c r="BE8" s="6">
        <v>33.64</v>
      </c>
      <c r="BF8" s="6">
        <v>38.68</v>
      </c>
      <c r="BG8" s="6">
        <v>46.25</v>
      </c>
      <c r="BH8" s="6">
        <v>48.59</v>
      </c>
      <c r="BI8" s="6">
        <v>50.34</v>
      </c>
      <c r="BJ8" s="6">
        <v>38.619999999999997</v>
      </c>
      <c r="BK8" s="6">
        <v>39.630000000000003</v>
      </c>
      <c r="BL8" s="6">
        <v>41.54</v>
      </c>
      <c r="BM8" s="6">
        <v>44.14</v>
      </c>
      <c r="BN8" s="6">
        <v>37.61</v>
      </c>
      <c r="BO8" s="6">
        <v>42.59</v>
      </c>
      <c r="BP8">
        <f t="shared" ref="BP8:BP71" si="0">AVERAGE(B3:BO8)</f>
        <v>43.731641414141407</v>
      </c>
      <c r="BQ8" s="12">
        <v>0.25694444444444448</v>
      </c>
    </row>
    <row r="9" spans="1:69" ht="17.5" thickBot="1" x14ac:dyDescent="0.5">
      <c r="A9" s="5">
        <v>8</v>
      </c>
      <c r="B9" s="6">
        <v>32.53</v>
      </c>
      <c r="C9" s="6">
        <v>37.840000000000003</v>
      </c>
      <c r="D9" s="6">
        <v>44.49</v>
      </c>
      <c r="E9" s="6">
        <v>49</v>
      </c>
      <c r="F9" s="6">
        <v>51.15</v>
      </c>
      <c r="G9" s="6">
        <v>41.79</v>
      </c>
      <c r="H9" s="6">
        <v>40.130000000000003</v>
      </c>
      <c r="I9" s="6">
        <v>42.51</v>
      </c>
      <c r="J9" s="6">
        <v>44.85</v>
      </c>
      <c r="K9" s="6">
        <v>39.89</v>
      </c>
      <c r="L9" s="6">
        <v>40.98</v>
      </c>
      <c r="M9" s="6">
        <v>33.119999999999997</v>
      </c>
      <c r="N9" s="6">
        <v>39.42</v>
      </c>
      <c r="O9" s="6">
        <v>45.83</v>
      </c>
      <c r="P9" s="6">
        <v>47.91</v>
      </c>
      <c r="Q9" s="6">
        <v>52.19</v>
      </c>
      <c r="R9" s="6">
        <v>39.200000000000003</v>
      </c>
      <c r="S9" s="6">
        <v>41.96</v>
      </c>
      <c r="T9" s="6">
        <v>43.92</v>
      </c>
      <c r="U9" s="6">
        <v>46.11</v>
      </c>
      <c r="V9" s="6">
        <v>38.49</v>
      </c>
      <c r="W9" s="6">
        <v>44.73</v>
      </c>
      <c r="X9" s="6">
        <v>33.89</v>
      </c>
      <c r="Y9" s="6">
        <v>37.99</v>
      </c>
      <c r="Z9" s="6">
        <v>46.69</v>
      </c>
      <c r="AA9" s="6">
        <v>47.64</v>
      </c>
      <c r="AB9" s="6">
        <v>51.17</v>
      </c>
      <c r="AC9" s="6">
        <v>38.31</v>
      </c>
      <c r="AD9" s="6">
        <v>38.97</v>
      </c>
      <c r="AE9" s="6">
        <v>41.44</v>
      </c>
      <c r="AF9" s="6">
        <v>45.08</v>
      </c>
      <c r="AG9" s="6">
        <v>39.19</v>
      </c>
      <c r="AH9" s="6">
        <v>42.42</v>
      </c>
      <c r="AI9" s="6">
        <v>34.340000000000003</v>
      </c>
      <c r="AJ9" s="6">
        <v>38.44</v>
      </c>
      <c r="AK9" s="6">
        <v>45.55</v>
      </c>
      <c r="AL9" s="6">
        <v>48.28</v>
      </c>
      <c r="AM9" s="6">
        <v>51.27</v>
      </c>
      <c r="AN9" s="6">
        <v>41.32</v>
      </c>
      <c r="AO9" s="6">
        <v>42.1</v>
      </c>
      <c r="AP9" s="6">
        <v>43.95</v>
      </c>
      <c r="AQ9" s="6">
        <v>47.75</v>
      </c>
      <c r="AR9" s="6">
        <v>39.07</v>
      </c>
      <c r="AS9" s="6">
        <v>45.57</v>
      </c>
      <c r="AT9" s="6">
        <v>33.64</v>
      </c>
      <c r="AU9" s="6">
        <v>38.68</v>
      </c>
      <c r="AV9" s="6">
        <v>46.25</v>
      </c>
      <c r="AW9" s="6">
        <v>48.59</v>
      </c>
      <c r="AX9" s="6">
        <v>50.34</v>
      </c>
      <c r="AY9" s="6">
        <v>38.619999999999997</v>
      </c>
      <c r="AZ9" s="6">
        <v>39.630000000000003</v>
      </c>
      <c r="BA9" s="6">
        <v>41.54</v>
      </c>
      <c r="BB9" s="6">
        <v>44.14</v>
      </c>
      <c r="BC9" s="6">
        <v>37.61</v>
      </c>
      <c r="BD9" s="6">
        <v>42.59</v>
      </c>
      <c r="BE9" s="6">
        <v>32</v>
      </c>
      <c r="BF9" s="6">
        <v>35.94</v>
      </c>
      <c r="BG9" s="6">
        <v>44.4</v>
      </c>
      <c r="BH9" s="6">
        <v>47.46</v>
      </c>
      <c r="BI9" s="6">
        <v>45.7</v>
      </c>
      <c r="BJ9" s="6">
        <v>32.1</v>
      </c>
      <c r="BK9" s="6">
        <v>38.96</v>
      </c>
      <c r="BL9" s="6">
        <v>44.12</v>
      </c>
      <c r="BM9" s="6">
        <v>45.43</v>
      </c>
      <c r="BN9" s="6">
        <v>39.42</v>
      </c>
      <c r="BO9" s="6">
        <v>45.68</v>
      </c>
      <c r="BP9">
        <f t="shared" si="0"/>
        <v>43.350555555555545</v>
      </c>
      <c r="BQ9" s="12">
        <v>0.2638888888888889</v>
      </c>
    </row>
    <row r="10" spans="1:69" ht="17.5" thickBot="1" x14ac:dyDescent="0.5">
      <c r="A10" s="5">
        <v>9</v>
      </c>
      <c r="B10" s="6">
        <v>33.119999999999997</v>
      </c>
      <c r="C10" s="6">
        <v>39.42</v>
      </c>
      <c r="D10" s="6">
        <v>45.83</v>
      </c>
      <c r="E10" s="6">
        <v>47.91</v>
      </c>
      <c r="F10" s="6">
        <v>52.19</v>
      </c>
      <c r="G10" s="6">
        <v>39.200000000000003</v>
      </c>
      <c r="H10" s="6">
        <v>41.96</v>
      </c>
      <c r="I10" s="6">
        <v>43.92</v>
      </c>
      <c r="J10" s="6">
        <v>46.11</v>
      </c>
      <c r="K10" s="6">
        <v>38.49</v>
      </c>
      <c r="L10" s="6">
        <v>44.73</v>
      </c>
      <c r="M10" s="6">
        <v>33.89</v>
      </c>
      <c r="N10" s="6">
        <v>37.99</v>
      </c>
      <c r="O10" s="6">
        <v>46.69</v>
      </c>
      <c r="P10" s="6">
        <v>47.64</v>
      </c>
      <c r="Q10" s="6">
        <v>51.17</v>
      </c>
      <c r="R10" s="6">
        <v>38.31</v>
      </c>
      <c r="S10" s="6">
        <v>38.97</v>
      </c>
      <c r="T10" s="6">
        <v>41.44</v>
      </c>
      <c r="U10" s="6">
        <v>45.08</v>
      </c>
      <c r="V10" s="6">
        <v>39.19</v>
      </c>
      <c r="W10" s="6">
        <v>42.42</v>
      </c>
      <c r="X10" s="6">
        <v>34.340000000000003</v>
      </c>
      <c r="Y10" s="6">
        <v>38.44</v>
      </c>
      <c r="Z10" s="6">
        <v>45.55</v>
      </c>
      <c r="AA10" s="6">
        <v>48.28</v>
      </c>
      <c r="AB10" s="6">
        <v>51.27</v>
      </c>
      <c r="AC10" s="6">
        <v>41.32</v>
      </c>
      <c r="AD10" s="6">
        <v>42.1</v>
      </c>
      <c r="AE10" s="6">
        <v>43.95</v>
      </c>
      <c r="AF10" s="6">
        <v>47.75</v>
      </c>
      <c r="AG10" s="6">
        <v>39.07</v>
      </c>
      <c r="AH10" s="6">
        <v>45.57</v>
      </c>
      <c r="AI10" s="6">
        <v>33.64</v>
      </c>
      <c r="AJ10" s="6">
        <v>38.68</v>
      </c>
      <c r="AK10" s="6">
        <v>46.25</v>
      </c>
      <c r="AL10" s="6">
        <v>48.59</v>
      </c>
      <c r="AM10" s="6">
        <v>50.34</v>
      </c>
      <c r="AN10" s="6">
        <v>38.619999999999997</v>
      </c>
      <c r="AO10" s="6">
        <v>39.630000000000003</v>
      </c>
      <c r="AP10" s="6">
        <v>41.54</v>
      </c>
      <c r="AQ10" s="6">
        <v>44.14</v>
      </c>
      <c r="AR10" s="6">
        <v>37.61</v>
      </c>
      <c r="AS10" s="6">
        <v>42.59</v>
      </c>
      <c r="AT10" s="6">
        <v>32</v>
      </c>
      <c r="AU10" s="6">
        <v>35.94</v>
      </c>
      <c r="AV10" s="6">
        <v>44.4</v>
      </c>
      <c r="AW10" s="6">
        <v>47.46</v>
      </c>
      <c r="AX10" s="6">
        <v>45.7</v>
      </c>
      <c r="AY10" s="6">
        <v>32.1</v>
      </c>
      <c r="AZ10" s="6">
        <v>38.96</v>
      </c>
      <c r="BA10" s="6">
        <v>44.12</v>
      </c>
      <c r="BB10" s="6">
        <v>45.43</v>
      </c>
      <c r="BC10" s="6">
        <v>39.42</v>
      </c>
      <c r="BD10" s="6">
        <v>45.68</v>
      </c>
      <c r="BE10" s="6">
        <v>31.41</v>
      </c>
      <c r="BF10" s="6">
        <v>37.32</v>
      </c>
      <c r="BG10" s="6">
        <v>44.32</v>
      </c>
      <c r="BH10" s="6">
        <v>44.45</v>
      </c>
      <c r="BI10" s="6">
        <v>35.08</v>
      </c>
      <c r="BJ10" s="6">
        <v>30.18</v>
      </c>
      <c r="BK10" s="6">
        <v>40.74</v>
      </c>
      <c r="BL10" s="6">
        <v>42.1</v>
      </c>
      <c r="BM10" s="6">
        <v>43.32</v>
      </c>
      <c r="BN10" s="6">
        <v>35.29</v>
      </c>
      <c r="BO10" s="6">
        <v>43.36</v>
      </c>
      <c r="BP10">
        <f t="shared" si="0"/>
        <v>42.919595959595966</v>
      </c>
      <c r="BQ10" s="12">
        <v>0.27083333333333331</v>
      </c>
    </row>
    <row r="11" spans="1:69" ht="17.5" thickBot="1" x14ac:dyDescent="0.5">
      <c r="A11" s="5">
        <v>10</v>
      </c>
      <c r="B11" s="6">
        <v>33.89</v>
      </c>
      <c r="C11" s="6">
        <v>37.99</v>
      </c>
      <c r="D11" s="6">
        <v>46.69</v>
      </c>
      <c r="E11" s="6">
        <v>47.64</v>
      </c>
      <c r="F11" s="6">
        <v>51.17</v>
      </c>
      <c r="G11" s="6">
        <v>38.31</v>
      </c>
      <c r="H11" s="6">
        <v>38.97</v>
      </c>
      <c r="I11" s="6">
        <v>41.44</v>
      </c>
      <c r="J11" s="6">
        <v>45.08</v>
      </c>
      <c r="K11" s="6">
        <v>39.19</v>
      </c>
      <c r="L11" s="6">
        <v>42.42</v>
      </c>
      <c r="M11" s="6">
        <v>34.340000000000003</v>
      </c>
      <c r="N11" s="6">
        <v>38.44</v>
      </c>
      <c r="O11" s="6">
        <v>45.55</v>
      </c>
      <c r="P11" s="6">
        <v>48.28</v>
      </c>
      <c r="Q11" s="6">
        <v>51.27</v>
      </c>
      <c r="R11" s="6">
        <v>41.32</v>
      </c>
      <c r="S11" s="6">
        <v>42.1</v>
      </c>
      <c r="T11" s="6">
        <v>43.95</v>
      </c>
      <c r="U11" s="6">
        <v>47.75</v>
      </c>
      <c r="V11" s="6">
        <v>39.07</v>
      </c>
      <c r="W11" s="6">
        <v>45.57</v>
      </c>
      <c r="X11" s="6">
        <v>33.64</v>
      </c>
      <c r="Y11" s="6">
        <v>38.68</v>
      </c>
      <c r="Z11" s="6">
        <v>46.25</v>
      </c>
      <c r="AA11" s="6">
        <v>48.59</v>
      </c>
      <c r="AB11" s="6">
        <v>50.34</v>
      </c>
      <c r="AC11" s="6">
        <v>38.619999999999997</v>
      </c>
      <c r="AD11" s="6">
        <v>39.630000000000003</v>
      </c>
      <c r="AE11" s="6">
        <v>41.54</v>
      </c>
      <c r="AF11" s="6">
        <v>44.14</v>
      </c>
      <c r="AG11" s="6">
        <v>37.61</v>
      </c>
      <c r="AH11" s="6">
        <v>42.59</v>
      </c>
      <c r="AI11" s="6">
        <v>32</v>
      </c>
      <c r="AJ11" s="6">
        <v>35.94</v>
      </c>
      <c r="AK11" s="6">
        <v>44.4</v>
      </c>
      <c r="AL11" s="6">
        <v>47.46</v>
      </c>
      <c r="AM11" s="6">
        <v>45.7</v>
      </c>
      <c r="AN11" s="6">
        <v>32.1</v>
      </c>
      <c r="AO11" s="6">
        <v>38.96</v>
      </c>
      <c r="AP11" s="6">
        <v>44.12</v>
      </c>
      <c r="AQ11" s="6">
        <v>45.43</v>
      </c>
      <c r="AR11" s="6">
        <v>39.42</v>
      </c>
      <c r="AS11" s="6">
        <v>45.68</v>
      </c>
      <c r="AT11" s="6">
        <v>31.41</v>
      </c>
      <c r="AU11" s="6">
        <v>37.32</v>
      </c>
      <c r="AV11" s="6">
        <v>44.32</v>
      </c>
      <c r="AW11" s="6">
        <v>44.45</v>
      </c>
      <c r="AX11" s="6">
        <v>35.08</v>
      </c>
      <c r="AY11" s="6">
        <v>30.18</v>
      </c>
      <c r="AZ11" s="6">
        <v>40.74</v>
      </c>
      <c r="BA11" s="6">
        <v>42.1</v>
      </c>
      <c r="BB11" s="6">
        <v>43.32</v>
      </c>
      <c r="BC11" s="6">
        <v>35.29</v>
      </c>
      <c r="BD11" s="6">
        <v>43.36</v>
      </c>
      <c r="BE11" s="6">
        <v>32.89</v>
      </c>
      <c r="BF11" s="6">
        <v>36.43</v>
      </c>
      <c r="BG11" s="6">
        <v>44.4</v>
      </c>
      <c r="BH11" s="6">
        <v>42.63</v>
      </c>
      <c r="BI11" s="6">
        <v>33.72</v>
      </c>
      <c r="BJ11" s="6">
        <v>27.71</v>
      </c>
      <c r="BK11" s="6">
        <v>39.25</v>
      </c>
      <c r="BL11" s="6">
        <v>43.15</v>
      </c>
      <c r="BM11" s="6">
        <v>44.25</v>
      </c>
      <c r="BN11" s="6">
        <v>38.25</v>
      </c>
      <c r="BO11" s="6">
        <v>44.72</v>
      </c>
      <c r="BP11">
        <f t="shared" si="0"/>
        <v>42.429040404040435</v>
      </c>
      <c r="BQ11" s="12">
        <v>0.27777777777777779</v>
      </c>
    </row>
    <row r="12" spans="1:69" ht="17.5" thickBot="1" x14ac:dyDescent="0.5">
      <c r="A12" s="5">
        <v>11</v>
      </c>
      <c r="B12" s="6">
        <v>34.340000000000003</v>
      </c>
      <c r="C12" s="6">
        <v>38.44</v>
      </c>
      <c r="D12" s="6">
        <v>45.55</v>
      </c>
      <c r="E12" s="6">
        <v>48.28</v>
      </c>
      <c r="F12" s="6">
        <v>51.27</v>
      </c>
      <c r="G12" s="6">
        <v>41.32</v>
      </c>
      <c r="H12" s="6">
        <v>42.1</v>
      </c>
      <c r="I12" s="6">
        <v>43.95</v>
      </c>
      <c r="J12" s="6">
        <v>47.75</v>
      </c>
      <c r="K12" s="6">
        <v>39.07</v>
      </c>
      <c r="L12" s="6">
        <v>45.57</v>
      </c>
      <c r="M12" s="6">
        <v>33.64</v>
      </c>
      <c r="N12" s="6">
        <v>38.68</v>
      </c>
      <c r="O12" s="6">
        <v>46.25</v>
      </c>
      <c r="P12" s="6">
        <v>48.59</v>
      </c>
      <c r="Q12" s="6">
        <v>50.34</v>
      </c>
      <c r="R12" s="6">
        <v>38.619999999999997</v>
      </c>
      <c r="S12" s="6">
        <v>39.630000000000003</v>
      </c>
      <c r="T12" s="6">
        <v>41.54</v>
      </c>
      <c r="U12" s="6">
        <v>44.14</v>
      </c>
      <c r="V12" s="6">
        <v>37.61</v>
      </c>
      <c r="W12" s="6">
        <v>42.59</v>
      </c>
      <c r="X12" s="6">
        <v>32</v>
      </c>
      <c r="Y12" s="6">
        <v>35.94</v>
      </c>
      <c r="Z12" s="6">
        <v>44.4</v>
      </c>
      <c r="AA12" s="6">
        <v>47.46</v>
      </c>
      <c r="AB12" s="6">
        <v>45.7</v>
      </c>
      <c r="AC12" s="6">
        <v>32.1</v>
      </c>
      <c r="AD12" s="6">
        <v>38.96</v>
      </c>
      <c r="AE12" s="6">
        <v>44.12</v>
      </c>
      <c r="AF12" s="6">
        <v>45.43</v>
      </c>
      <c r="AG12" s="6">
        <v>39.42</v>
      </c>
      <c r="AH12" s="6">
        <v>45.68</v>
      </c>
      <c r="AI12" s="6">
        <v>31.41</v>
      </c>
      <c r="AJ12" s="6">
        <v>37.32</v>
      </c>
      <c r="AK12" s="6">
        <v>44.32</v>
      </c>
      <c r="AL12" s="6">
        <v>44.45</v>
      </c>
      <c r="AM12" s="6">
        <v>35.08</v>
      </c>
      <c r="AN12" s="6">
        <v>30.18</v>
      </c>
      <c r="AO12" s="6">
        <v>40.74</v>
      </c>
      <c r="AP12" s="6">
        <v>42.1</v>
      </c>
      <c r="AQ12" s="6">
        <v>43.32</v>
      </c>
      <c r="AR12" s="6">
        <v>35.29</v>
      </c>
      <c r="AS12" s="6">
        <v>43.36</v>
      </c>
      <c r="AT12" s="6">
        <v>32.89</v>
      </c>
      <c r="AU12" s="6">
        <v>36.43</v>
      </c>
      <c r="AV12" s="6">
        <v>44.4</v>
      </c>
      <c r="AW12" s="6">
        <v>42.63</v>
      </c>
      <c r="AX12" s="6">
        <v>33.72</v>
      </c>
      <c r="AY12" s="6">
        <v>27.71</v>
      </c>
      <c r="AZ12" s="6">
        <v>39.25</v>
      </c>
      <c r="BA12" s="6">
        <v>43.15</v>
      </c>
      <c r="BB12" s="6">
        <v>44.25</v>
      </c>
      <c r="BC12" s="6">
        <v>38.25</v>
      </c>
      <c r="BD12" s="6">
        <v>44.72</v>
      </c>
      <c r="BE12" s="6">
        <v>30.44</v>
      </c>
      <c r="BF12" s="6">
        <v>37.71</v>
      </c>
      <c r="BG12" s="6">
        <v>44.79</v>
      </c>
      <c r="BH12" s="6">
        <v>42.45</v>
      </c>
      <c r="BI12" s="6">
        <v>32.97</v>
      </c>
      <c r="BJ12" s="6">
        <v>28.44</v>
      </c>
      <c r="BK12" s="6">
        <v>39.6</v>
      </c>
      <c r="BL12" s="6">
        <v>42.78</v>
      </c>
      <c r="BM12" s="6">
        <v>42.99</v>
      </c>
      <c r="BN12" s="6">
        <v>37.54</v>
      </c>
      <c r="BO12" s="6">
        <v>44.06</v>
      </c>
      <c r="BP12">
        <f t="shared" si="0"/>
        <v>41.918232323232338</v>
      </c>
      <c r="BQ12" s="12">
        <v>0.28472222222222221</v>
      </c>
    </row>
    <row r="13" spans="1:69" ht="17.5" thickBot="1" x14ac:dyDescent="0.5">
      <c r="A13" s="5">
        <v>12</v>
      </c>
      <c r="B13" s="6">
        <v>33.64</v>
      </c>
      <c r="C13" s="6">
        <v>38.68</v>
      </c>
      <c r="D13" s="6">
        <v>46.25</v>
      </c>
      <c r="E13" s="6">
        <v>48.59</v>
      </c>
      <c r="F13" s="6">
        <v>50.34</v>
      </c>
      <c r="G13" s="6">
        <v>38.619999999999997</v>
      </c>
      <c r="H13" s="6">
        <v>39.630000000000003</v>
      </c>
      <c r="I13" s="6">
        <v>41.54</v>
      </c>
      <c r="J13" s="6">
        <v>44.14</v>
      </c>
      <c r="K13" s="6">
        <v>37.61</v>
      </c>
      <c r="L13" s="6">
        <v>42.59</v>
      </c>
      <c r="M13" s="6">
        <v>32</v>
      </c>
      <c r="N13" s="6">
        <v>35.94</v>
      </c>
      <c r="O13" s="6">
        <v>44.4</v>
      </c>
      <c r="P13" s="6">
        <v>47.46</v>
      </c>
      <c r="Q13" s="6">
        <v>45.7</v>
      </c>
      <c r="R13" s="6">
        <v>32.1</v>
      </c>
      <c r="S13" s="6">
        <v>38.96</v>
      </c>
      <c r="T13" s="6">
        <v>44.12</v>
      </c>
      <c r="U13" s="6">
        <v>45.43</v>
      </c>
      <c r="V13" s="6">
        <v>39.42</v>
      </c>
      <c r="W13" s="6">
        <v>45.68</v>
      </c>
      <c r="X13" s="6">
        <v>31.41</v>
      </c>
      <c r="Y13" s="6">
        <v>37.32</v>
      </c>
      <c r="Z13" s="6">
        <v>44.32</v>
      </c>
      <c r="AA13" s="6">
        <v>44.45</v>
      </c>
      <c r="AB13" s="6">
        <v>35.08</v>
      </c>
      <c r="AC13" s="6">
        <v>30.18</v>
      </c>
      <c r="AD13" s="6">
        <v>40.74</v>
      </c>
      <c r="AE13" s="6">
        <v>42.1</v>
      </c>
      <c r="AF13" s="6">
        <v>43.32</v>
      </c>
      <c r="AG13" s="6">
        <v>35.29</v>
      </c>
      <c r="AH13" s="6">
        <v>43.36</v>
      </c>
      <c r="AI13" s="6">
        <v>32.89</v>
      </c>
      <c r="AJ13" s="6">
        <v>36.43</v>
      </c>
      <c r="AK13" s="6">
        <v>44.4</v>
      </c>
      <c r="AL13" s="6">
        <v>42.63</v>
      </c>
      <c r="AM13" s="6">
        <v>33.72</v>
      </c>
      <c r="AN13" s="6">
        <v>27.71</v>
      </c>
      <c r="AO13" s="6">
        <v>39.25</v>
      </c>
      <c r="AP13" s="6">
        <v>43.15</v>
      </c>
      <c r="AQ13" s="6">
        <v>44.25</v>
      </c>
      <c r="AR13" s="6">
        <v>38.25</v>
      </c>
      <c r="AS13" s="6">
        <v>44.72</v>
      </c>
      <c r="AT13" s="6">
        <v>30.44</v>
      </c>
      <c r="AU13" s="6">
        <v>37.71</v>
      </c>
      <c r="AV13" s="6">
        <v>44.79</v>
      </c>
      <c r="AW13" s="6">
        <v>42.45</v>
      </c>
      <c r="AX13" s="6">
        <v>32.97</v>
      </c>
      <c r="AY13" s="6">
        <v>28.44</v>
      </c>
      <c r="AZ13" s="6">
        <v>39.6</v>
      </c>
      <c r="BA13" s="6">
        <v>42.78</v>
      </c>
      <c r="BB13" s="6">
        <v>42.99</v>
      </c>
      <c r="BC13" s="6">
        <v>37.54</v>
      </c>
      <c r="BD13" s="6">
        <v>44.06</v>
      </c>
      <c r="BE13" s="6">
        <v>33.68</v>
      </c>
      <c r="BF13" s="6">
        <v>35.39</v>
      </c>
      <c r="BG13" s="6">
        <v>43.3</v>
      </c>
      <c r="BH13" s="6">
        <v>36.5</v>
      </c>
      <c r="BI13" s="6">
        <v>32.6</v>
      </c>
      <c r="BJ13" s="6">
        <v>29.38</v>
      </c>
      <c r="BK13" s="6">
        <v>38.659999999999997</v>
      </c>
      <c r="BL13" s="6">
        <v>44.72</v>
      </c>
      <c r="BM13" s="6">
        <v>43.75</v>
      </c>
      <c r="BN13" s="6">
        <v>39.409999999999997</v>
      </c>
      <c r="BO13" s="6">
        <v>44.77</v>
      </c>
      <c r="BP13">
        <f t="shared" si="0"/>
        <v>41.314772727272732</v>
      </c>
      <c r="BQ13" s="12">
        <v>0.29166666666666669</v>
      </c>
    </row>
    <row r="14" spans="1:69" ht="17.5" thickBot="1" x14ac:dyDescent="0.5">
      <c r="A14" s="5">
        <v>13</v>
      </c>
      <c r="B14" s="6">
        <v>32</v>
      </c>
      <c r="C14" s="6">
        <v>35.94</v>
      </c>
      <c r="D14" s="6">
        <v>44.4</v>
      </c>
      <c r="E14" s="6">
        <v>47.46</v>
      </c>
      <c r="F14" s="6">
        <v>45.7</v>
      </c>
      <c r="G14" s="6">
        <v>32.1</v>
      </c>
      <c r="H14" s="6">
        <v>38.96</v>
      </c>
      <c r="I14" s="6">
        <v>44.12</v>
      </c>
      <c r="J14" s="6">
        <v>45.43</v>
      </c>
      <c r="K14" s="6">
        <v>39.42</v>
      </c>
      <c r="L14" s="6">
        <v>45.68</v>
      </c>
      <c r="M14" s="6">
        <v>31.41</v>
      </c>
      <c r="N14" s="6">
        <v>37.32</v>
      </c>
      <c r="O14" s="6">
        <v>44.32</v>
      </c>
      <c r="P14" s="6">
        <v>44.45</v>
      </c>
      <c r="Q14" s="6">
        <v>35.08</v>
      </c>
      <c r="R14" s="6">
        <v>30.18</v>
      </c>
      <c r="S14" s="6">
        <v>40.74</v>
      </c>
      <c r="T14" s="6">
        <v>42.1</v>
      </c>
      <c r="U14" s="6">
        <v>43.32</v>
      </c>
      <c r="V14" s="6">
        <v>35.29</v>
      </c>
      <c r="W14" s="6">
        <v>43.36</v>
      </c>
      <c r="X14" s="6">
        <v>32.89</v>
      </c>
      <c r="Y14" s="6">
        <v>36.43</v>
      </c>
      <c r="Z14" s="6">
        <v>44.4</v>
      </c>
      <c r="AA14" s="6">
        <v>42.63</v>
      </c>
      <c r="AB14" s="6">
        <v>33.72</v>
      </c>
      <c r="AC14" s="6">
        <v>27.71</v>
      </c>
      <c r="AD14" s="6">
        <v>39.25</v>
      </c>
      <c r="AE14" s="6">
        <v>43.15</v>
      </c>
      <c r="AF14" s="6">
        <v>44.25</v>
      </c>
      <c r="AG14" s="6">
        <v>38.25</v>
      </c>
      <c r="AH14" s="6">
        <v>44.72</v>
      </c>
      <c r="AI14" s="6">
        <v>30.44</v>
      </c>
      <c r="AJ14" s="6">
        <v>37.71</v>
      </c>
      <c r="AK14" s="6">
        <v>44.79</v>
      </c>
      <c r="AL14" s="6">
        <v>42.45</v>
      </c>
      <c r="AM14" s="6">
        <v>32.97</v>
      </c>
      <c r="AN14" s="6">
        <v>28.44</v>
      </c>
      <c r="AO14" s="6">
        <v>39.6</v>
      </c>
      <c r="AP14" s="6">
        <v>42.78</v>
      </c>
      <c r="AQ14" s="6">
        <v>42.99</v>
      </c>
      <c r="AR14" s="6">
        <v>37.54</v>
      </c>
      <c r="AS14" s="6">
        <v>44.06</v>
      </c>
      <c r="AT14" s="6">
        <v>33.68</v>
      </c>
      <c r="AU14" s="6">
        <v>35.39</v>
      </c>
      <c r="AV14" s="6">
        <v>43.3</v>
      </c>
      <c r="AW14" s="6">
        <v>36.5</v>
      </c>
      <c r="AX14" s="6">
        <v>32.6</v>
      </c>
      <c r="AY14" s="6">
        <v>29.38</v>
      </c>
      <c r="AZ14" s="6">
        <v>38.659999999999997</v>
      </c>
      <c r="BA14" s="6">
        <v>44.72</v>
      </c>
      <c r="BB14" s="6">
        <v>43.75</v>
      </c>
      <c r="BC14" s="6">
        <v>39.409999999999997</v>
      </c>
      <c r="BD14" s="6">
        <v>44.77</v>
      </c>
      <c r="BE14" s="6">
        <v>33.15</v>
      </c>
      <c r="BF14" s="6">
        <v>37.81</v>
      </c>
      <c r="BG14" s="6">
        <v>45.5</v>
      </c>
      <c r="BH14" s="6">
        <v>34.42</v>
      </c>
      <c r="BI14" s="6">
        <v>31.46</v>
      </c>
      <c r="BJ14" s="6">
        <v>28.86</v>
      </c>
      <c r="BK14" s="6">
        <v>39.96</v>
      </c>
      <c r="BL14" s="6">
        <v>43.24</v>
      </c>
      <c r="BM14" s="6">
        <v>42.48</v>
      </c>
      <c r="BN14" s="6">
        <v>35.200000000000003</v>
      </c>
      <c r="BO14" s="6">
        <v>44.19</v>
      </c>
      <c r="BP14">
        <f t="shared" si="0"/>
        <v>40.668207070707069</v>
      </c>
      <c r="BQ14" s="12">
        <v>0.2986111111111111</v>
      </c>
    </row>
    <row r="15" spans="1:69" ht="17.5" thickBot="1" x14ac:dyDescent="0.5">
      <c r="A15" s="5">
        <v>14</v>
      </c>
      <c r="B15" s="6">
        <v>31.41</v>
      </c>
      <c r="C15" s="6">
        <v>37.32</v>
      </c>
      <c r="D15" s="6">
        <v>44.32</v>
      </c>
      <c r="E15" s="6">
        <v>44.45</v>
      </c>
      <c r="F15" s="6">
        <v>35.08</v>
      </c>
      <c r="G15" s="6">
        <v>30.18</v>
      </c>
      <c r="H15" s="6">
        <v>40.74</v>
      </c>
      <c r="I15" s="6">
        <v>42.1</v>
      </c>
      <c r="J15" s="6">
        <v>43.32</v>
      </c>
      <c r="K15" s="6">
        <v>35.29</v>
      </c>
      <c r="L15" s="6">
        <v>43.36</v>
      </c>
      <c r="M15" s="6">
        <v>32.89</v>
      </c>
      <c r="N15" s="6">
        <v>36.43</v>
      </c>
      <c r="O15" s="6">
        <v>44.4</v>
      </c>
      <c r="P15" s="6">
        <v>42.63</v>
      </c>
      <c r="Q15" s="6">
        <v>33.72</v>
      </c>
      <c r="R15" s="6">
        <v>27.71</v>
      </c>
      <c r="S15" s="6">
        <v>39.25</v>
      </c>
      <c r="T15" s="6">
        <v>43.15</v>
      </c>
      <c r="U15" s="6">
        <v>44.25</v>
      </c>
      <c r="V15" s="6">
        <v>38.25</v>
      </c>
      <c r="W15" s="6">
        <v>44.72</v>
      </c>
      <c r="X15" s="6">
        <v>30.44</v>
      </c>
      <c r="Y15" s="6">
        <v>37.71</v>
      </c>
      <c r="Z15" s="6">
        <v>44.79</v>
      </c>
      <c r="AA15" s="6">
        <v>42.45</v>
      </c>
      <c r="AB15" s="6">
        <v>32.97</v>
      </c>
      <c r="AC15" s="6">
        <v>28.44</v>
      </c>
      <c r="AD15" s="6">
        <v>39.6</v>
      </c>
      <c r="AE15" s="6">
        <v>42.78</v>
      </c>
      <c r="AF15" s="6">
        <v>42.99</v>
      </c>
      <c r="AG15" s="6">
        <v>37.54</v>
      </c>
      <c r="AH15" s="6">
        <v>44.06</v>
      </c>
      <c r="AI15" s="6">
        <v>33.68</v>
      </c>
      <c r="AJ15" s="6">
        <v>35.39</v>
      </c>
      <c r="AK15" s="6">
        <v>43.3</v>
      </c>
      <c r="AL15" s="6">
        <v>36.5</v>
      </c>
      <c r="AM15" s="6">
        <v>32.6</v>
      </c>
      <c r="AN15" s="6">
        <v>29.38</v>
      </c>
      <c r="AO15" s="6">
        <v>38.659999999999997</v>
      </c>
      <c r="AP15" s="6">
        <v>44.72</v>
      </c>
      <c r="AQ15" s="6">
        <v>43.75</v>
      </c>
      <c r="AR15" s="6">
        <v>39.409999999999997</v>
      </c>
      <c r="AS15" s="6">
        <v>44.77</v>
      </c>
      <c r="AT15" s="6">
        <v>33.15</v>
      </c>
      <c r="AU15" s="6">
        <v>37.81</v>
      </c>
      <c r="AV15" s="6">
        <v>45.5</v>
      </c>
      <c r="AW15" s="6">
        <v>34.42</v>
      </c>
      <c r="AX15" s="6">
        <v>31.46</v>
      </c>
      <c r="AY15" s="6">
        <v>28.86</v>
      </c>
      <c r="AZ15" s="6">
        <v>39.96</v>
      </c>
      <c r="BA15" s="6">
        <v>43.24</v>
      </c>
      <c r="BB15" s="6">
        <v>42.48</v>
      </c>
      <c r="BC15" s="6">
        <v>35.200000000000003</v>
      </c>
      <c r="BD15" s="6">
        <v>44.19</v>
      </c>
      <c r="BE15" s="6">
        <v>33.61</v>
      </c>
      <c r="BF15" s="6">
        <v>37.630000000000003</v>
      </c>
      <c r="BG15" s="6">
        <v>43.22</v>
      </c>
      <c r="BH15" s="6">
        <v>34.549999999999997</v>
      </c>
      <c r="BI15" s="6">
        <v>32.74</v>
      </c>
      <c r="BJ15" s="6">
        <v>29.2</v>
      </c>
      <c r="BK15" s="6">
        <v>38.65</v>
      </c>
      <c r="BL15" s="6">
        <v>43.4</v>
      </c>
      <c r="BM15" s="6">
        <v>42.63</v>
      </c>
      <c r="BN15" s="6">
        <v>38.46</v>
      </c>
      <c r="BO15" s="6">
        <v>43.19</v>
      </c>
      <c r="BP15">
        <f t="shared" si="0"/>
        <v>40.019570707070677</v>
      </c>
      <c r="BQ15" s="12">
        <v>0.30555555555555552</v>
      </c>
    </row>
    <row r="16" spans="1:69" ht="17.5" thickBot="1" x14ac:dyDescent="0.5">
      <c r="A16" s="5">
        <v>15</v>
      </c>
      <c r="B16" s="6">
        <v>32.89</v>
      </c>
      <c r="C16" s="6">
        <v>36.43</v>
      </c>
      <c r="D16" s="6">
        <v>44.4</v>
      </c>
      <c r="E16" s="6">
        <v>42.63</v>
      </c>
      <c r="F16" s="6">
        <v>33.72</v>
      </c>
      <c r="G16" s="6">
        <v>27.71</v>
      </c>
      <c r="H16" s="6">
        <v>39.25</v>
      </c>
      <c r="I16" s="6">
        <v>43.15</v>
      </c>
      <c r="J16" s="6">
        <v>44.25</v>
      </c>
      <c r="K16" s="6">
        <v>38.25</v>
      </c>
      <c r="L16" s="6">
        <v>44.72</v>
      </c>
      <c r="M16" s="6">
        <v>30.44</v>
      </c>
      <c r="N16" s="6">
        <v>37.71</v>
      </c>
      <c r="O16" s="6">
        <v>44.79</v>
      </c>
      <c r="P16" s="6">
        <v>42.45</v>
      </c>
      <c r="Q16" s="6">
        <v>32.97</v>
      </c>
      <c r="R16" s="6">
        <v>28.44</v>
      </c>
      <c r="S16" s="6">
        <v>39.6</v>
      </c>
      <c r="T16" s="6">
        <v>42.78</v>
      </c>
      <c r="U16" s="6">
        <v>42.99</v>
      </c>
      <c r="V16" s="6">
        <v>37.54</v>
      </c>
      <c r="W16" s="6">
        <v>44.06</v>
      </c>
      <c r="X16" s="6">
        <v>33.68</v>
      </c>
      <c r="Y16" s="6">
        <v>35.39</v>
      </c>
      <c r="Z16" s="6">
        <v>43.3</v>
      </c>
      <c r="AA16" s="6">
        <v>36.5</v>
      </c>
      <c r="AB16" s="6">
        <v>32.6</v>
      </c>
      <c r="AC16" s="6">
        <v>29.38</v>
      </c>
      <c r="AD16" s="6">
        <v>38.659999999999997</v>
      </c>
      <c r="AE16" s="6">
        <v>44.72</v>
      </c>
      <c r="AF16" s="6">
        <v>43.75</v>
      </c>
      <c r="AG16" s="6">
        <v>39.409999999999997</v>
      </c>
      <c r="AH16" s="6">
        <v>44.77</v>
      </c>
      <c r="AI16" s="6">
        <v>33.15</v>
      </c>
      <c r="AJ16" s="6">
        <v>37.81</v>
      </c>
      <c r="AK16" s="6">
        <v>45.5</v>
      </c>
      <c r="AL16" s="6">
        <v>34.42</v>
      </c>
      <c r="AM16" s="6">
        <v>31.46</v>
      </c>
      <c r="AN16" s="6">
        <v>28.86</v>
      </c>
      <c r="AO16" s="6">
        <v>39.96</v>
      </c>
      <c r="AP16" s="6">
        <v>43.24</v>
      </c>
      <c r="AQ16" s="6">
        <v>42.48</v>
      </c>
      <c r="AR16" s="6">
        <v>35.200000000000003</v>
      </c>
      <c r="AS16" s="6">
        <v>44.19</v>
      </c>
      <c r="AT16" s="6">
        <v>33.61</v>
      </c>
      <c r="AU16" s="6">
        <v>37.630000000000003</v>
      </c>
      <c r="AV16" s="6">
        <v>43.22</v>
      </c>
      <c r="AW16" s="6">
        <v>34.549999999999997</v>
      </c>
      <c r="AX16" s="6">
        <v>32.74</v>
      </c>
      <c r="AY16" s="6">
        <v>29.2</v>
      </c>
      <c r="AZ16" s="6">
        <v>38.65</v>
      </c>
      <c r="BA16" s="6">
        <v>43.4</v>
      </c>
      <c r="BB16" s="6">
        <v>42.63</v>
      </c>
      <c r="BC16" s="6">
        <v>38.46</v>
      </c>
      <c r="BD16" s="6">
        <v>43.19</v>
      </c>
      <c r="BE16" s="6">
        <v>34.770000000000003</v>
      </c>
      <c r="BF16" s="6">
        <v>37.54</v>
      </c>
      <c r="BG16" s="6">
        <v>44.47</v>
      </c>
      <c r="BH16" s="6">
        <v>46.02</v>
      </c>
      <c r="BI16" s="6">
        <v>38.24</v>
      </c>
      <c r="BJ16" s="6">
        <v>28.56</v>
      </c>
      <c r="BK16" s="6">
        <v>39.46</v>
      </c>
      <c r="BL16" s="6">
        <v>43.31</v>
      </c>
      <c r="BM16" s="6">
        <v>42.98</v>
      </c>
      <c r="BN16" s="6">
        <v>38.799999999999997</v>
      </c>
      <c r="BO16" s="6">
        <v>43.58</v>
      </c>
      <c r="BP16">
        <f t="shared" si="0"/>
        <v>39.491515151515102</v>
      </c>
      <c r="BQ16" s="12">
        <v>0.3125</v>
      </c>
    </row>
    <row r="17" spans="1:69" ht="17.5" thickBot="1" x14ac:dyDescent="0.5">
      <c r="A17" s="5">
        <v>16</v>
      </c>
      <c r="B17" s="6">
        <v>30.44</v>
      </c>
      <c r="C17" s="6">
        <v>37.71</v>
      </c>
      <c r="D17" s="6">
        <v>44.79</v>
      </c>
      <c r="E17" s="6">
        <v>42.45</v>
      </c>
      <c r="F17" s="6">
        <v>32.97</v>
      </c>
      <c r="G17" s="6">
        <v>28.44</v>
      </c>
      <c r="H17" s="6">
        <v>39.6</v>
      </c>
      <c r="I17" s="6">
        <v>42.78</v>
      </c>
      <c r="J17" s="6">
        <v>42.99</v>
      </c>
      <c r="K17" s="6">
        <v>37.54</v>
      </c>
      <c r="L17" s="6">
        <v>44.06</v>
      </c>
      <c r="M17" s="6">
        <v>33.68</v>
      </c>
      <c r="N17" s="6">
        <v>35.39</v>
      </c>
      <c r="O17" s="6">
        <v>43.3</v>
      </c>
      <c r="P17" s="6">
        <v>36.5</v>
      </c>
      <c r="Q17" s="6">
        <v>32.6</v>
      </c>
      <c r="R17" s="6">
        <v>29.38</v>
      </c>
      <c r="S17" s="6">
        <v>38.659999999999997</v>
      </c>
      <c r="T17" s="6">
        <v>44.72</v>
      </c>
      <c r="U17" s="6">
        <v>43.75</v>
      </c>
      <c r="V17" s="6">
        <v>39.409999999999997</v>
      </c>
      <c r="W17" s="6">
        <v>44.77</v>
      </c>
      <c r="X17" s="6">
        <v>33.15</v>
      </c>
      <c r="Y17" s="6">
        <v>37.81</v>
      </c>
      <c r="Z17" s="6">
        <v>45.5</v>
      </c>
      <c r="AA17" s="6">
        <v>34.42</v>
      </c>
      <c r="AB17" s="6">
        <v>31.46</v>
      </c>
      <c r="AC17" s="6">
        <v>28.86</v>
      </c>
      <c r="AD17" s="6">
        <v>39.96</v>
      </c>
      <c r="AE17" s="6">
        <v>43.24</v>
      </c>
      <c r="AF17" s="6">
        <v>42.48</v>
      </c>
      <c r="AG17" s="6">
        <v>35.200000000000003</v>
      </c>
      <c r="AH17" s="6">
        <v>44.19</v>
      </c>
      <c r="AI17" s="6">
        <v>33.61</v>
      </c>
      <c r="AJ17" s="6">
        <v>37.630000000000003</v>
      </c>
      <c r="AK17" s="6">
        <v>43.22</v>
      </c>
      <c r="AL17" s="6">
        <v>34.549999999999997</v>
      </c>
      <c r="AM17" s="6">
        <v>32.74</v>
      </c>
      <c r="AN17" s="6">
        <v>29.2</v>
      </c>
      <c r="AO17" s="6">
        <v>38.65</v>
      </c>
      <c r="AP17" s="6">
        <v>43.4</v>
      </c>
      <c r="AQ17" s="6">
        <v>42.63</v>
      </c>
      <c r="AR17" s="6">
        <v>38.46</v>
      </c>
      <c r="AS17" s="6">
        <v>43.19</v>
      </c>
      <c r="AT17" s="6">
        <v>34.770000000000003</v>
      </c>
      <c r="AU17" s="6">
        <v>37.54</v>
      </c>
      <c r="AV17" s="6">
        <v>44.47</v>
      </c>
      <c r="AW17" s="6">
        <v>46.02</v>
      </c>
      <c r="AX17" s="6">
        <v>38.24</v>
      </c>
      <c r="AY17" s="6">
        <v>28.56</v>
      </c>
      <c r="AZ17" s="6">
        <v>39.46</v>
      </c>
      <c r="BA17" s="6">
        <v>43.31</v>
      </c>
      <c r="BB17" s="6">
        <v>42.98</v>
      </c>
      <c r="BC17" s="6">
        <v>38.799999999999997</v>
      </c>
      <c r="BD17" s="6">
        <v>43.58</v>
      </c>
      <c r="BE17" s="6">
        <v>34.520000000000003</v>
      </c>
      <c r="BF17" s="6">
        <v>36.79</v>
      </c>
      <c r="BG17" s="6">
        <v>44.25</v>
      </c>
      <c r="BH17" s="6">
        <v>46.74</v>
      </c>
      <c r="BI17" s="6">
        <v>47.64</v>
      </c>
      <c r="BJ17" s="6">
        <v>29.89</v>
      </c>
      <c r="BK17" s="6">
        <v>37.909999999999997</v>
      </c>
      <c r="BL17" s="6">
        <v>44.54</v>
      </c>
      <c r="BM17" s="6">
        <v>42.83</v>
      </c>
      <c r="BN17" s="6">
        <v>39.479999999999997</v>
      </c>
      <c r="BO17" s="6">
        <v>43.72</v>
      </c>
      <c r="BP17">
        <f t="shared" si="0"/>
        <v>39.131111111111046</v>
      </c>
      <c r="BQ17" s="12">
        <v>0.31944444444444448</v>
      </c>
    </row>
    <row r="18" spans="1:69" ht="17.5" thickBot="1" x14ac:dyDescent="0.5">
      <c r="A18" s="5">
        <v>17</v>
      </c>
      <c r="B18" s="6">
        <v>33.68</v>
      </c>
      <c r="C18" s="6">
        <v>35.39</v>
      </c>
      <c r="D18" s="6">
        <v>43.3</v>
      </c>
      <c r="E18" s="6">
        <v>36.5</v>
      </c>
      <c r="F18" s="6">
        <v>32.6</v>
      </c>
      <c r="G18" s="6">
        <v>29.38</v>
      </c>
      <c r="H18" s="6">
        <v>38.659999999999997</v>
      </c>
      <c r="I18" s="6">
        <v>44.72</v>
      </c>
      <c r="J18" s="6">
        <v>43.75</v>
      </c>
      <c r="K18" s="6">
        <v>39.409999999999997</v>
      </c>
      <c r="L18" s="6">
        <v>44.77</v>
      </c>
      <c r="M18" s="6">
        <v>33.15</v>
      </c>
      <c r="N18" s="6">
        <v>37.81</v>
      </c>
      <c r="O18" s="6">
        <v>45.5</v>
      </c>
      <c r="P18" s="6">
        <v>34.42</v>
      </c>
      <c r="Q18" s="6">
        <v>31.46</v>
      </c>
      <c r="R18" s="6">
        <v>28.86</v>
      </c>
      <c r="S18" s="6">
        <v>39.96</v>
      </c>
      <c r="T18" s="6">
        <v>43.24</v>
      </c>
      <c r="U18" s="6">
        <v>42.48</v>
      </c>
      <c r="V18" s="6">
        <v>35.200000000000003</v>
      </c>
      <c r="W18" s="6">
        <v>44.19</v>
      </c>
      <c r="X18" s="6">
        <v>33.61</v>
      </c>
      <c r="Y18" s="6">
        <v>37.630000000000003</v>
      </c>
      <c r="Z18" s="6">
        <v>43.22</v>
      </c>
      <c r="AA18" s="6">
        <v>34.549999999999997</v>
      </c>
      <c r="AB18" s="6">
        <v>32.74</v>
      </c>
      <c r="AC18" s="6">
        <v>29.2</v>
      </c>
      <c r="AD18" s="6">
        <v>38.65</v>
      </c>
      <c r="AE18" s="6">
        <v>43.4</v>
      </c>
      <c r="AF18" s="6">
        <v>42.63</v>
      </c>
      <c r="AG18" s="6">
        <v>38.46</v>
      </c>
      <c r="AH18" s="6">
        <v>43.19</v>
      </c>
      <c r="AI18" s="6">
        <v>34.770000000000003</v>
      </c>
      <c r="AJ18" s="6">
        <v>37.54</v>
      </c>
      <c r="AK18" s="6">
        <v>44.47</v>
      </c>
      <c r="AL18" s="6">
        <v>46.02</v>
      </c>
      <c r="AM18" s="6">
        <v>38.24</v>
      </c>
      <c r="AN18" s="6">
        <v>28.56</v>
      </c>
      <c r="AO18" s="6">
        <v>39.46</v>
      </c>
      <c r="AP18" s="6">
        <v>43.31</v>
      </c>
      <c r="AQ18" s="6">
        <v>42.98</v>
      </c>
      <c r="AR18" s="6">
        <v>38.799999999999997</v>
      </c>
      <c r="AS18" s="6">
        <v>43.58</v>
      </c>
      <c r="AT18" s="6">
        <v>34.520000000000003</v>
      </c>
      <c r="AU18" s="6">
        <v>36.79</v>
      </c>
      <c r="AV18" s="6">
        <v>44.25</v>
      </c>
      <c r="AW18" s="6">
        <v>46.74</v>
      </c>
      <c r="AX18" s="6">
        <v>47.64</v>
      </c>
      <c r="AY18" s="6">
        <v>29.89</v>
      </c>
      <c r="AZ18" s="6">
        <v>37.909999999999997</v>
      </c>
      <c r="BA18" s="6">
        <v>44.54</v>
      </c>
      <c r="BB18" s="6">
        <v>42.83</v>
      </c>
      <c r="BC18" s="6">
        <v>39.479999999999997</v>
      </c>
      <c r="BD18" s="6">
        <v>43.72</v>
      </c>
      <c r="BE18" s="6">
        <v>34.85</v>
      </c>
      <c r="BF18" s="6">
        <v>34.36</v>
      </c>
      <c r="BG18" s="6">
        <v>42.79</v>
      </c>
      <c r="BH18" s="6">
        <v>44.62</v>
      </c>
      <c r="BI18" s="6">
        <v>42.43</v>
      </c>
      <c r="BJ18" s="6">
        <v>31.96</v>
      </c>
      <c r="BK18" s="6">
        <v>38.29</v>
      </c>
      <c r="BL18" s="6">
        <v>48.16</v>
      </c>
      <c r="BM18" s="6">
        <v>36.47</v>
      </c>
      <c r="BN18" s="6">
        <v>36.49</v>
      </c>
      <c r="BO18" s="6">
        <v>46.44</v>
      </c>
      <c r="BP18">
        <f t="shared" si="0"/>
        <v>38.902297979797922</v>
      </c>
      <c r="BQ18" s="12">
        <v>0.3263888888888889</v>
      </c>
    </row>
    <row r="19" spans="1:69" ht="17.5" thickBot="1" x14ac:dyDescent="0.5">
      <c r="A19" s="5">
        <v>18</v>
      </c>
      <c r="B19" s="6">
        <v>33.15</v>
      </c>
      <c r="C19" s="6">
        <v>37.81</v>
      </c>
      <c r="D19" s="6">
        <v>45.5</v>
      </c>
      <c r="E19" s="6">
        <v>34.42</v>
      </c>
      <c r="F19" s="6">
        <v>31.46</v>
      </c>
      <c r="G19" s="6">
        <v>28.86</v>
      </c>
      <c r="H19" s="6">
        <v>39.96</v>
      </c>
      <c r="I19" s="6">
        <v>43.24</v>
      </c>
      <c r="J19" s="6">
        <v>42.48</v>
      </c>
      <c r="K19" s="6">
        <v>35.200000000000003</v>
      </c>
      <c r="L19" s="6">
        <v>44.19</v>
      </c>
      <c r="M19" s="6">
        <v>33.61</v>
      </c>
      <c r="N19" s="6">
        <v>37.630000000000003</v>
      </c>
      <c r="O19" s="6">
        <v>43.22</v>
      </c>
      <c r="P19" s="6">
        <v>34.549999999999997</v>
      </c>
      <c r="Q19" s="6">
        <v>32.74</v>
      </c>
      <c r="R19" s="6">
        <v>29.2</v>
      </c>
      <c r="S19" s="6">
        <v>38.65</v>
      </c>
      <c r="T19" s="6">
        <v>43.4</v>
      </c>
      <c r="U19" s="6">
        <v>42.63</v>
      </c>
      <c r="V19" s="6">
        <v>38.46</v>
      </c>
      <c r="W19" s="6">
        <v>43.19</v>
      </c>
      <c r="X19" s="6">
        <v>34.770000000000003</v>
      </c>
      <c r="Y19" s="6">
        <v>37.54</v>
      </c>
      <c r="Z19" s="6">
        <v>44.47</v>
      </c>
      <c r="AA19" s="6">
        <v>46.02</v>
      </c>
      <c r="AB19" s="6">
        <v>38.24</v>
      </c>
      <c r="AC19" s="6">
        <v>28.56</v>
      </c>
      <c r="AD19" s="6">
        <v>39.46</v>
      </c>
      <c r="AE19" s="6">
        <v>43.31</v>
      </c>
      <c r="AF19" s="6">
        <v>42.98</v>
      </c>
      <c r="AG19" s="6">
        <v>38.799999999999997</v>
      </c>
      <c r="AH19" s="6">
        <v>43.58</v>
      </c>
      <c r="AI19" s="6">
        <v>34.520000000000003</v>
      </c>
      <c r="AJ19" s="6">
        <v>36.79</v>
      </c>
      <c r="AK19" s="6">
        <v>44.25</v>
      </c>
      <c r="AL19" s="6">
        <v>46.74</v>
      </c>
      <c r="AM19" s="6">
        <v>47.64</v>
      </c>
      <c r="AN19" s="6">
        <v>29.89</v>
      </c>
      <c r="AO19" s="6">
        <v>37.909999999999997</v>
      </c>
      <c r="AP19" s="6">
        <v>44.54</v>
      </c>
      <c r="AQ19" s="6">
        <v>42.83</v>
      </c>
      <c r="AR19" s="6">
        <v>39.479999999999997</v>
      </c>
      <c r="AS19" s="6">
        <v>43.72</v>
      </c>
      <c r="AT19" s="6">
        <v>34.85</v>
      </c>
      <c r="AU19" s="6">
        <v>34.36</v>
      </c>
      <c r="AV19" s="6">
        <v>42.79</v>
      </c>
      <c r="AW19" s="6">
        <v>44.62</v>
      </c>
      <c r="AX19" s="6">
        <v>42.43</v>
      </c>
      <c r="AY19" s="6">
        <v>31.96</v>
      </c>
      <c r="AZ19" s="6">
        <v>38.29</v>
      </c>
      <c r="BA19" s="6">
        <v>48.16</v>
      </c>
      <c r="BB19" s="6">
        <v>36.47</v>
      </c>
      <c r="BC19" s="6">
        <v>36.49</v>
      </c>
      <c r="BD19" s="6">
        <v>46.44</v>
      </c>
      <c r="BE19" s="6">
        <v>35.78</v>
      </c>
      <c r="BF19" s="6">
        <v>34.97</v>
      </c>
      <c r="BG19" s="6">
        <v>43.4</v>
      </c>
      <c r="BH19" s="6">
        <v>48.75</v>
      </c>
      <c r="BI19" s="6">
        <v>45.29</v>
      </c>
      <c r="BJ19" s="6">
        <v>34.299999999999997</v>
      </c>
      <c r="BK19" s="6">
        <v>38.729999999999997</v>
      </c>
      <c r="BL19" s="6">
        <v>48.69</v>
      </c>
      <c r="BM19" s="6">
        <v>38.79</v>
      </c>
      <c r="BN19" s="6">
        <v>35.81</v>
      </c>
      <c r="BO19" s="6">
        <v>48.28</v>
      </c>
      <c r="BP19">
        <f t="shared" si="0"/>
        <v>38.890934343434289</v>
      </c>
      <c r="BQ19" s="12">
        <v>0.33333333333333331</v>
      </c>
    </row>
    <row r="20" spans="1:69" ht="17.5" thickBot="1" x14ac:dyDescent="0.5">
      <c r="A20" s="5">
        <v>19</v>
      </c>
      <c r="B20" s="6">
        <v>33.61</v>
      </c>
      <c r="C20" s="6">
        <v>37.630000000000003</v>
      </c>
      <c r="D20" s="6">
        <v>43.22</v>
      </c>
      <c r="E20" s="6">
        <v>34.549999999999997</v>
      </c>
      <c r="F20" s="6">
        <v>32.74</v>
      </c>
      <c r="G20" s="6">
        <v>29.2</v>
      </c>
      <c r="H20" s="6">
        <v>38.65</v>
      </c>
      <c r="I20" s="6">
        <v>43.4</v>
      </c>
      <c r="J20" s="6">
        <v>42.63</v>
      </c>
      <c r="K20" s="6">
        <v>38.46</v>
      </c>
      <c r="L20" s="6">
        <v>43.19</v>
      </c>
      <c r="M20" s="6">
        <v>34.770000000000003</v>
      </c>
      <c r="N20" s="6">
        <v>37.54</v>
      </c>
      <c r="O20" s="6">
        <v>44.47</v>
      </c>
      <c r="P20" s="6">
        <v>46.02</v>
      </c>
      <c r="Q20" s="6">
        <v>38.24</v>
      </c>
      <c r="R20" s="6">
        <v>28.56</v>
      </c>
      <c r="S20" s="6">
        <v>39.46</v>
      </c>
      <c r="T20" s="6">
        <v>43.31</v>
      </c>
      <c r="U20" s="6">
        <v>42.98</v>
      </c>
      <c r="V20" s="6">
        <v>38.799999999999997</v>
      </c>
      <c r="W20" s="6">
        <v>43.58</v>
      </c>
      <c r="X20" s="6">
        <v>34.520000000000003</v>
      </c>
      <c r="Y20" s="6">
        <v>36.79</v>
      </c>
      <c r="Z20" s="6">
        <v>44.25</v>
      </c>
      <c r="AA20" s="6">
        <v>46.74</v>
      </c>
      <c r="AB20" s="6">
        <v>47.64</v>
      </c>
      <c r="AC20" s="6">
        <v>29.89</v>
      </c>
      <c r="AD20" s="6">
        <v>37.909999999999997</v>
      </c>
      <c r="AE20" s="6">
        <v>44.54</v>
      </c>
      <c r="AF20" s="6">
        <v>42.83</v>
      </c>
      <c r="AG20" s="6">
        <v>39.479999999999997</v>
      </c>
      <c r="AH20" s="6">
        <v>43.72</v>
      </c>
      <c r="AI20" s="6">
        <v>34.85</v>
      </c>
      <c r="AJ20" s="6">
        <v>34.36</v>
      </c>
      <c r="AK20" s="6">
        <v>42.79</v>
      </c>
      <c r="AL20" s="6">
        <v>44.62</v>
      </c>
      <c r="AM20" s="6">
        <v>42.43</v>
      </c>
      <c r="AN20" s="6">
        <v>31.96</v>
      </c>
      <c r="AO20" s="6">
        <v>38.29</v>
      </c>
      <c r="AP20" s="6">
        <v>48.16</v>
      </c>
      <c r="AQ20" s="6">
        <v>36.47</v>
      </c>
      <c r="AR20" s="6">
        <v>36.49</v>
      </c>
      <c r="AS20" s="6">
        <v>46.44</v>
      </c>
      <c r="AT20" s="6">
        <v>35.78</v>
      </c>
      <c r="AU20" s="6">
        <v>34.97</v>
      </c>
      <c r="AV20" s="6">
        <v>43.4</v>
      </c>
      <c r="AW20" s="6">
        <v>48.75</v>
      </c>
      <c r="AX20" s="6">
        <v>45.29</v>
      </c>
      <c r="AY20" s="6">
        <v>34.299999999999997</v>
      </c>
      <c r="AZ20" s="6">
        <v>38.729999999999997</v>
      </c>
      <c r="BA20" s="6">
        <v>48.69</v>
      </c>
      <c r="BB20" s="6">
        <v>38.79</v>
      </c>
      <c r="BC20" s="6">
        <v>35.81</v>
      </c>
      <c r="BD20" s="6">
        <v>48.28</v>
      </c>
      <c r="BE20" s="6">
        <v>34.979999999999997</v>
      </c>
      <c r="BF20" s="6">
        <v>34.79</v>
      </c>
      <c r="BG20" s="6">
        <v>44.68</v>
      </c>
      <c r="BH20" s="6">
        <v>46.09</v>
      </c>
      <c r="BI20" s="6">
        <v>45.82</v>
      </c>
      <c r="BJ20" s="6">
        <v>35.94</v>
      </c>
      <c r="BK20" s="6">
        <v>40.39</v>
      </c>
      <c r="BL20" s="6">
        <v>48.15</v>
      </c>
      <c r="BM20" s="6">
        <v>37.83</v>
      </c>
      <c r="BN20" s="6">
        <v>38.28</v>
      </c>
      <c r="BO20" s="6">
        <v>47.84</v>
      </c>
      <c r="BP20">
        <f t="shared" si="0"/>
        <v>39.091388888888865</v>
      </c>
      <c r="BQ20" s="12">
        <v>0.34027777777777773</v>
      </c>
    </row>
    <row r="21" spans="1:69" ht="17.5" thickBot="1" x14ac:dyDescent="0.5">
      <c r="A21" s="5">
        <v>20</v>
      </c>
      <c r="B21" s="6">
        <v>34.770000000000003</v>
      </c>
      <c r="C21" s="6">
        <v>37.54</v>
      </c>
      <c r="D21" s="6">
        <v>44.47</v>
      </c>
      <c r="E21" s="6">
        <v>46.02</v>
      </c>
      <c r="F21" s="6">
        <v>38.24</v>
      </c>
      <c r="G21" s="6">
        <v>28.56</v>
      </c>
      <c r="H21" s="6">
        <v>39.46</v>
      </c>
      <c r="I21" s="6">
        <v>43.31</v>
      </c>
      <c r="J21" s="6">
        <v>42.98</v>
      </c>
      <c r="K21" s="6">
        <v>38.799999999999997</v>
      </c>
      <c r="L21" s="6">
        <v>43.58</v>
      </c>
      <c r="M21" s="6">
        <v>34.520000000000003</v>
      </c>
      <c r="N21" s="6">
        <v>36.79</v>
      </c>
      <c r="O21" s="6">
        <v>44.25</v>
      </c>
      <c r="P21" s="6">
        <v>46.74</v>
      </c>
      <c r="Q21" s="6">
        <v>47.64</v>
      </c>
      <c r="R21" s="6">
        <v>29.89</v>
      </c>
      <c r="S21" s="6">
        <v>37.909999999999997</v>
      </c>
      <c r="T21" s="6">
        <v>44.54</v>
      </c>
      <c r="U21" s="6">
        <v>42.83</v>
      </c>
      <c r="V21" s="6">
        <v>39.479999999999997</v>
      </c>
      <c r="W21" s="6">
        <v>43.72</v>
      </c>
      <c r="X21" s="6">
        <v>34.85</v>
      </c>
      <c r="Y21" s="6">
        <v>34.36</v>
      </c>
      <c r="Z21" s="6">
        <v>42.79</v>
      </c>
      <c r="AA21" s="6">
        <v>44.62</v>
      </c>
      <c r="AB21" s="6">
        <v>42.43</v>
      </c>
      <c r="AC21" s="6">
        <v>31.96</v>
      </c>
      <c r="AD21" s="6">
        <v>38.29</v>
      </c>
      <c r="AE21" s="6">
        <v>48.16</v>
      </c>
      <c r="AF21" s="6">
        <v>36.47</v>
      </c>
      <c r="AG21" s="6">
        <v>36.49</v>
      </c>
      <c r="AH21" s="6">
        <v>46.44</v>
      </c>
      <c r="AI21" s="6">
        <v>35.78</v>
      </c>
      <c r="AJ21" s="6">
        <v>34.97</v>
      </c>
      <c r="AK21" s="6">
        <v>43.4</v>
      </c>
      <c r="AL21" s="6">
        <v>48.75</v>
      </c>
      <c r="AM21" s="6">
        <v>45.29</v>
      </c>
      <c r="AN21" s="6">
        <v>34.299999999999997</v>
      </c>
      <c r="AO21" s="6">
        <v>38.729999999999997</v>
      </c>
      <c r="AP21" s="6">
        <v>48.69</v>
      </c>
      <c r="AQ21" s="6">
        <v>38.79</v>
      </c>
      <c r="AR21" s="6">
        <v>35.81</v>
      </c>
      <c r="AS21" s="6">
        <v>48.28</v>
      </c>
      <c r="AT21" s="6">
        <v>34.979999999999997</v>
      </c>
      <c r="AU21" s="6">
        <v>34.79</v>
      </c>
      <c r="AV21" s="6">
        <v>44.68</v>
      </c>
      <c r="AW21" s="6">
        <v>46.09</v>
      </c>
      <c r="AX21" s="6">
        <v>45.82</v>
      </c>
      <c r="AY21" s="6">
        <v>35.94</v>
      </c>
      <c r="AZ21" s="6">
        <v>40.39</v>
      </c>
      <c r="BA21" s="6">
        <v>48.15</v>
      </c>
      <c r="BB21" s="6">
        <v>37.83</v>
      </c>
      <c r="BC21" s="6">
        <v>38.28</v>
      </c>
      <c r="BD21" s="6">
        <v>47.84</v>
      </c>
      <c r="BE21" s="6">
        <v>39.729999999999997</v>
      </c>
      <c r="BF21" s="6">
        <v>36.57</v>
      </c>
      <c r="BG21" s="6">
        <v>44.98</v>
      </c>
      <c r="BH21" s="6">
        <v>47.11</v>
      </c>
      <c r="BI21" s="6">
        <v>45.19</v>
      </c>
      <c r="BJ21" s="6">
        <v>37.81</v>
      </c>
      <c r="BK21" s="6">
        <v>39.82</v>
      </c>
      <c r="BL21" s="6">
        <v>48.27</v>
      </c>
      <c r="BM21" s="6">
        <v>38.880000000000003</v>
      </c>
      <c r="BN21" s="6">
        <v>38.97</v>
      </c>
      <c r="BO21" s="6">
        <v>48.7</v>
      </c>
      <c r="BP21">
        <f t="shared" si="0"/>
        <v>39.500631313131301</v>
      </c>
      <c r="BQ21" s="12">
        <v>0.34722222222222227</v>
      </c>
    </row>
    <row r="22" spans="1:69" ht="17.5" thickBot="1" x14ac:dyDescent="0.5">
      <c r="A22" s="5">
        <v>21</v>
      </c>
      <c r="B22" s="6">
        <v>34.520000000000003</v>
      </c>
      <c r="C22" s="6">
        <v>36.79</v>
      </c>
      <c r="D22" s="6">
        <v>44.25</v>
      </c>
      <c r="E22" s="6">
        <v>46.74</v>
      </c>
      <c r="F22" s="6">
        <v>47.64</v>
      </c>
      <c r="G22" s="6">
        <v>29.89</v>
      </c>
      <c r="H22" s="6">
        <v>37.909999999999997</v>
      </c>
      <c r="I22" s="6">
        <v>44.54</v>
      </c>
      <c r="J22" s="6">
        <v>42.83</v>
      </c>
      <c r="K22" s="6">
        <v>39.479999999999997</v>
      </c>
      <c r="L22" s="6">
        <v>43.72</v>
      </c>
      <c r="M22" s="6">
        <v>34.85</v>
      </c>
      <c r="N22" s="6">
        <v>34.36</v>
      </c>
      <c r="O22" s="6">
        <v>42.79</v>
      </c>
      <c r="P22" s="6">
        <v>44.62</v>
      </c>
      <c r="Q22" s="6">
        <v>42.43</v>
      </c>
      <c r="R22" s="6">
        <v>31.96</v>
      </c>
      <c r="S22" s="6">
        <v>38.29</v>
      </c>
      <c r="T22" s="6">
        <v>48.16</v>
      </c>
      <c r="U22" s="6">
        <v>36.47</v>
      </c>
      <c r="V22" s="6">
        <v>36.49</v>
      </c>
      <c r="W22" s="6">
        <v>46.44</v>
      </c>
      <c r="X22" s="6">
        <v>35.78</v>
      </c>
      <c r="Y22" s="6">
        <v>34.97</v>
      </c>
      <c r="Z22" s="6">
        <v>43.4</v>
      </c>
      <c r="AA22" s="6">
        <v>48.75</v>
      </c>
      <c r="AB22" s="6">
        <v>45.29</v>
      </c>
      <c r="AC22" s="6">
        <v>34.299999999999997</v>
      </c>
      <c r="AD22" s="6">
        <v>38.729999999999997</v>
      </c>
      <c r="AE22" s="6">
        <v>48.69</v>
      </c>
      <c r="AF22" s="6">
        <v>38.79</v>
      </c>
      <c r="AG22" s="6">
        <v>35.81</v>
      </c>
      <c r="AH22" s="6">
        <v>48.28</v>
      </c>
      <c r="AI22" s="6">
        <v>34.979999999999997</v>
      </c>
      <c r="AJ22" s="6">
        <v>34.79</v>
      </c>
      <c r="AK22" s="6">
        <v>44.68</v>
      </c>
      <c r="AL22" s="6">
        <v>46.09</v>
      </c>
      <c r="AM22" s="6">
        <v>45.82</v>
      </c>
      <c r="AN22" s="6">
        <v>35.94</v>
      </c>
      <c r="AO22" s="6">
        <v>40.39</v>
      </c>
      <c r="AP22" s="6">
        <v>48.15</v>
      </c>
      <c r="AQ22" s="6">
        <v>37.83</v>
      </c>
      <c r="AR22" s="6">
        <v>38.28</v>
      </c>
      <c r="AS22" s="6">
        <v>47.84</v>
      </c>
      <c r="AT22" s="6">
        <v>39.729999999999997</v>
      </c>
      <c r="AU22" s="6">
        <v>36.57</v>
      </c>
      <c r="AV22" s="6">
        <v>44.98</v>
      </c>
      <c r="AW22" s="6">
        <v>47.11</v>
      </c>
      <c r="AX22" s="6">
        <v>45.19</v>
      </c>
      <c r="AY22" s="6">
        <v>37.81</v>
      </c>
      <c r="AZ22" s="6">
        <v>39.82</v>
      </c>
      <c r="BA22" s="6">
        <v>48.27</v>
      </c>
      <c r="BB22" s="6">
        <v>38.880000000000003</v>
      </c>
      <c r="BC22" s="6">
        <v>38.97</v>
      </c>
      <c r="BD22" s="6">
        <v>48.7</v>
      </c>
      <c r="BE22" s="6">
        <v>39.46</v>
      </c>
      <c r="BF22" s="6">
        <v>36.47</v>
      </c>
      <c r="BG22" s="6">
        <v>43.47</v>
      </c>
      <c r="BH22" s="6">
        <v>46.23</v>
      </c>
      <c r="BI22" s="6">
        <v>45.27</v>
      </c>
      <c r="BJ22" s="6">
        <v>41.54</v>
      </c>
      <c r="BK22" s="6">
        <v>37.82</v>
      </c>
      <c r="BL22" s="6">
        <v>49.68</v>
      </c>
      <c r="BM22" s="6">
        <v>37.479999999999997</v>
      </c>
      <c r="BN22" s="6">
        <v>36.69</v>
      </c>
      <c r="BO22" s="6">
        <v>48.73</v>
      </c>
      <c r="BP22">
        <f t="shared" si="0"/>
        <v>39.947626262626251</v>
      </c>
      <c r="BQ22" s="12">
        <v>0.35416666666666669</v>
      </c>
    </row>
    <row r="23" spans="1:69" ht="17.5" thickBot="1" x14ac:dyDescent="0.5">
      <c r="A23" s="5">
        <v>22</v>
      </c>
      <c r="B23" s="6">
        <v>34.85</v>
      </c>
      <c r="C23" s="6">
        <v>34.36</v>
      </c>
      <c r="D23" s="6">
        <v>42.79</v>
      </c>
      <c r="E23" s="6">
        <v>44.62</v>
      </c>
      <c r="F23" s="6">
        <v>42.43</v>
      </c>
      <c r="G23" s="6">
        <v>31.96</v>
      </c>
      <c r="H23" s="6">
        <v>38.29</v>
      </c>
      <c r="I23" s="6">
        <v>48.16</v>
      </c>
      <c r="J23" s="6">
        <v>36.47</v>
      </c>
      <c r="K23" s="6">
        <v>36.49</v>
      </c>
      <c r="L23" s="6">
        <v>46.44</v>
      </c>
      <c r="M23" s="6">
        <v>35.78</v>
      </c>
      <c r="N23" s="6">
        <v>34.97</v>
      </c>
      <c r="O23" s="6">
        <v>43.4</v>
      </c>
      <c r="P23" s="6">
        <v>48.75</v>
      </c>
      <c r="Q23" s="6">
        <v>45.29</v>
      </c>
      <c r="R23" s="6">
        <v>34.299999999999997</v>
      </c>
      <c r="S23" s="6">
        <v>38.729999999999997</v>
      </c>
      <c r="T23" s="6">
        <v>48.69</v>
      </c>
      <c r="U23" s="6">
        <v>38.79</v>
      </c>
      <c r="V23" s="6">
        <v>35.81</v>
      </c>
      <c r="W23" s="6">
        <v>48.28</v>
      </c>
      <c r="X23" s="6">
        <v>34.979999999999997</v>
      </c>
      <c r="Y23" s="6">
        <v>34.79</v>
      </c>
      <c r="Z23" s="6">
        <v>44.68</v>
      </c>
      <c r="AA23" s="6">
        <v>46.09</v>
      </c>
      <c r="AB23" s="6">
        <v>45.82</v>
      </c>
      <c r="AC23" s="6">
        <v>35.94</v>
      </c>
      <c r="AD23" s="6">
        <v>40.39</v>
      </c>
      <c r="AE23" s="6">
        <v>48.15</v>
      </c>
      <c r="AF23" s="6">
        <v>37.83</v>
      </c>
      <c r="AG23" s="6">
        <v>38.28</v>
      </c>
      <c r="AH23" s="6">
        <v>47.84</v>
      </c>
      <c r="AI23" s="6">
        <v>39.729999999999997</v>
      </c>
      <c r="AJ23" s="6">
        <v>36.57</v>
      </c>
      <c r="AK23" s="6">
        <v>44.98</v>
      </c>
      <c r="AL23" s="6">
        <v>47.11</v>
      </c>
      <c r="AM23" s="6">
        <v>45.19</v>
      </c>
      <c r="AN23" s="6">
        <v>37.81</v>
      </c>
      <c r="AO23" s="6">
        <v>39.82</v>
      </c>
      <c r="AP23" s="6">
        <v>48.27</v>
      </c>
      <c r="AQ23" s="6">
        <v>38.880000000000003</v>
      </c>
      <c r="AR23" s="6">
        <v>38.97</v>
      </c>
      <c r="AS23" s="6">
        <v>48.7</v>
      </c>
      <c r="AT23" s="6">
        <v>39.46</v>
      </c>
      <c r="AU23" s="6">
        <v>36.47</v>
      </c>
      <c r="AV23" s="6">
        <v>43.47</v>
      </c>
      <c r="AW23" s="6">
        <v>46.23</v>
      </c>
      <c r="AX23" s="6">
        <v>45.27</v>
      </c>
      <c r="AY23" s="6">
        <v>41.54</v>
      </c>
      <c r="AZ23" s="6">
        <v>37.82</v>
      </c>
      <c r="BA23" s="6">
        <v>49.68</v>
      </c>
      <c r="BB23" s="6">
        <v>37.479999999999997</v>
      </c>
      <c r="BC23" s="6">
        <v>36.69</v>
      </c>
      <c r="BD23" s="6">
        <v>48.73</v>
      </c>
      <c r="BE23" s="6">
        <v>37.5</v>
      </c>
      <c r="BF23" s="6">
        <v>35.159999999999997</v>
      </c>
      <c r="BG23" s="6">
        <v>43.89</v>
      </c>
      <c r="BH23" s="6">
        <v>46.46</v>
      </c>
      <c r="BI23" s="6">
        <v>44.65</v>
      </c>
      <c r="BJ23" s="6">
        <v>40.93</v>
      </c>
      <c r="BK23" s="6">
        <v>39.51</v>
      </c>
      <c r="BL23" s="6">
        <v>48.8</v>
      </c>
      <c r="BM23" s="6">
        <v>37.950000000000003</v>
      </c>
      <c r="BN23" s="6">
        <v>36.85</v>
      </c>
      <c r="BO23" s="6">
        <v>49.39</v>
      </c>
      <c r="BP23">
        <f t="shared" si="0"/>
        <v>40.37409090909091</v>
      </c>
      <c r="BQ23" s="12">
        <v>0.3611111111111111</v>
      </c>
    </row>
    <row r="24" spans="1:69" ht="17.5" thickBot="1" x14ac:dyDescent="0.5">
      <c r="A24" s="5">
        <v>23</v>
      </c>
      <c r="B24" s="6">
        <v>35.78</v>
      </c>
      <c r="C24" s="6">
        <v>34.97</v>
      </c>
      <c r="D24" s="6">
        <v>43.4</v>
      </c>
      <c r="E24" s="6">
        <v>48.75</v>
      </c>
      <c r="F24" s="6">
        <v>45.29</v>
      </c>
      <c r="G24" s="6">
        <v>34.299999999999997</v>
      </c>
      <c r="H24" s="6">
        <v>38.729999999999997</v>
      </c>
      <c r="I24" s="6">
        <v>48.69</v>
      </c>
      <c r="J24" s="6">
        <v>38.79</v>
      </c>
      <c r="K24" s="6">
        <v>35.81</v>
      </c>
      <c r="L24" s="6">
        <v>48.28</v>
      </c>
      <c r="M24" s="6">
        <v>34.979999999999997</v>
      </c>
      <c r="N24" s="6">
        <v>34.79</v>
      </c>
      <c r="O24" s="6">
        <v>44.68</v>
      </c>
      <c r="P24" s="6">
        <v>46.09</v>
      </c>
      <c r="Q24" s="6">
        <v>45.82</v>
      </c>
      <c r="R24" s="6">
        <v>35.94</v>
      </c>
      <c r="S24" s="6">
        <v>40.39</v>
      </c>
      <c r="T24" s="6">
        <v>48.15</v>
      </c>
      <c r="U24" s="6">
        <v>37.83</v>
      </c>
      <c r="V24" s="6">
        <v>38.28</v>
      </c>
      <c r="W24" s="6">
        <v>47.84</v>
      </c>
      <c r="X24" s="6">
        <v>39.729999999999997</v>
      </c>
      <c r="Y24" s="6">
        <v>36.57</v>
      </c>
      <c r="Z24" s="6">
        <v>44.98</v>
      </c>
      <c r="AA24" s="6">
        <v>47.11</v>
      </c>
      <c r="AB24" s="6">
        <v>45.19</v>
      </c>
      <c r="AC24" s="6">
        <v>37.81</v>
      </c>
      <c r="AD24" s="6">
        <v>39.82</v>
      </c>
      <c r="AE24" s="6">
        <v>48.27</v>
      </c>
      <c r="AF24" s="6">
        <v>38.880000000000003</v>
      </c>
      <c r="AG24" s="6">
        <v>38.97</v>
      </c>
      <c r="AH24" s="6">
        <v>48.7</v>
      </c>
      <c r="AI24" s="6">
        <v>39.46</v>
      </c>
      <c r="AJ24" s="6">
        <v>36.47</v>
      </c>
      <c r="AK24" s="6">
        <v>43.47</v>
      </c>
      <c r="AL24" s="6">
        <v>46.23</v>
      </c>
      <c r="AM24" s="6">
        <v>45.27</v>
      </c>
      <c r="AN24" s="6">
        <v>41.54</v>
      </c>
      <c r="AO24" s="6">
        <v>37.82</v>
      </c>
      <c r="AP24" s="6">
        <v>49.68</v>
      </c>
      <c r="AQ24" s="6">
        <v>37.479999999999997</v>
      </c>
      <c r="AR24" s="6">
        <v>36.69</v>
      </c>
      <c r="AS24" s="6">
        <v>48.73</v>
      </c>
      <c r="AT24" s="6">
        <v>37.5</v>
      </c>
      <c r="AU24" s="6">
        <v>35.159999999999997</v>
      </c>
      <c r="AV24" s="6">
        <v>43.89</v>
      </c>
      <c r="AW24" s="6">
        <v>46.46</v>
      </c>
      <c r="AX24" s="6">
        <v>44.65</v>
      </c>
      <c r="AY24" s="6">
        <v>40.93</v>
      </c>
      <c r="AZ24" s="6">
        <v>39.51</v>
      </c>
      <c r="BA24" s="6">
        <v>48.8</v>
      </c>
      <c r="BB24" s="6">
        <v>37.950000000000003</v>
      </c>
      <c r="BC24" s="6">
        <v>36.85</v>
      </c>
      <c r="BD24" s="6">
        <v>49.39</v>
      </c>
      <c r="BE24" s="6">
        <v>39.770000000000003</v>
      </c>
      <c r="BF24" s="6">
        <v>37.520000000000003</v>
      </c>
      <c r="BG24" s="6">
        <v>44.11</v>
      </c>
      <c r="BH24" s="6">
        <v>47.03</v>
      </c>
      <c r="BI24" s="6">
        <v>45.77</v>
      </c>
      <c r="BJ24" s="6">
        <v>42.51</v>
      </c>
      <c r="BK24" s="6">
        <v>40.340000000000003</v>
      </c>
      <c r="BL24" s="6">
        <v>49.81</v>
      </c>
      <c r="BM24" s="6">
        <v>38.89</v>
      </c>
      <c r="BN24" s="6">
        <v>37.83</v>
      </c>
      <c r="BO24" s="6">
        <v>47.72</v>
      </c>
      <c r="BP24">
        <f t="shared" si="0"/>
        <v>40.85446969696968</v>
      </c>
      <c r="BQ24" s="12">
        <v>0.36805555555555558</v>
      </c>
    </row>
    <row r="25" spans="1:69" ht="17.5" thickBot="1" x14ac:dyDescent="0.5">
      <c r="A25" s="5">
        <v>24</v>
      </c>
      <c r="B25" s="6">
        <v>34.979999999999997</v>
      </c>
      <c r="C25" s="6">
        <v>34.79</v>
      </c>
      <c r="D25" s="6">
        <v>44.68</v>
      </c>
      <c r="E25" s="6">
        <v>46.09</v>
      </c>
      <c r="F25" s="6">
        <v>45.82</v>
      </c>
      <c r="G25" s="6">
        <v>35.94</v>
      </c>
      <c r="H25" s="6">
        <v>40.39</v>
      </c>
      <c r="I25" s="6">
        <v>48.15</v>
      </c>
      <c r="J25" s="6">
        <v>37.83</v>
      </c>
      <c r="K25" s="6">
        <v>38.28</v>
      </c>
      <c r="L25" s="6">
        <v>47.84</v>
      </c>
      <c r="M25" s="6">
        <v>39.729999999999997</v>
      </c>
      <c r="N25" s="6">
        <v>36.57</v>
      </c>
      <c r="O25" s="6">
        <v>44.98</v>
      </c>
      <c r="P25" s="6">
        <v>47.11</v>
      </c>
      <c r="Q25" s="6">
        <v>45.19</v>
      </c>
      <c r="R25" s="6">
        <v>37.81</v>
      </c>
      <c r="S25" s="6">
        <v>39.82</v>
      </c>
      <c r="T25" s="6">
        <v>48.27</v>
      </c>
      <c r="U25" s="6">
        <v>38.880000000000003</v>
      </c>
      <c r="V25" s="6">
        <v>38.97</v>
      </c>
      <c r="W25" s="6">
        <v>48.7</v>
      </c>
      <c r="X25" s="6">
        <v>39.46</v>
      </c>
      <c r="Y25" s="6">
        <v>36.47</v>
      </c>
      <c r="Z25" s="6">
        <v>43.47</v>
      </c>
      <c r="AA25" s="6">
        <v>46.23</v>
      </c>
      <c r="AB25" s="6">
        <v>45.27</v>
      </c>
      <c r="AC25" s="6">
        <v>41.54</v>
      </c>
      <c r="AD25" s="6">
        <v>37.82</v>
      </c>
      <c r="AE25" s="6">
        <v>49.68</v>
      </c>
      <c r="AF25" s="6">
        <v>37.479999999999997</v>
      </c>
      <c r="AG25" s="6">
        <v>36.69</v>
      </c>
      <c r="AH25" s="6">
        <v>48.73</v>
      </c>
      <c r="AI25" s="6">
        <v>37.5</v>
      </c>
      <c r="AJ25" s="6">
        <v>35.159999999999997</v>
      </c>
      <c r="AK25" s="6">
        <v>43.89</v>
      </c>
      <c r="AL25" s="6">
        <v>46.46</v>
      </c>
      <c r="AM25" s="6">
        <v>44.65</v>
      </c>
      <c r="AN25" s="6">
        <v>40.93</v>
      </c>
      <c r="AO25" s="6">
        <v>39.51</v>
      </c>
      <c r="AP25" s="6">
        <v>48.8</v>
      </c>
      <c r="AQ25" s="6">
        <v>37.950000000000003</v>
      </c>
      <c r="AR25" s="6">
        <v>36.85</v>
      </c>
      <c r="AS25" s="6">
        <v>49.39</v>
      </c>
      <c r="AT25" s="6">
        <v>39.770000000000003</v>
      </c>
      <c r="AU25" s="6">
        <v>37.520000000000003</v>
      </c>
      <c r="AV25" s="6">
        <v>44.11</v>
      </c>
      <c r="AW25" s="6">
        <v>47.03</v>
      </c>
      <c r="AX25" s="6">
        <v>45.77</v>
      </c>
      <c r="AY25" s="6">
        <v>42.51</v>
      </c>
      <c r="AZ25" s="6">
        <v>40.340000000000003</v>
      </c>
      <c r="BA25" s="6">
        <v>49.81</v>
      </c>
      <c r="BB25" s="6">
        <v>38.89</v>
      </c>
      <c r="BC25" s="6">
        <v>37.83</v>
      </c>
      <c r="BD25" s="6">
        <v>47.72</v>
      </c>
      <c r="BE25" s="6">
        <v>39.69</v>
      </c>
      <c r="BF25" s="6">
        <v>34.619999999999997</v>
      </c>
      <c r="BG25" s="6">
        <v>43.94</v>
      </c>
      <c r="BH25" s="6">
        <v>48.16</v>
      </c>
      <c r="BI25" s="6">
        <v>46.08</v>
      </c>
      <c r="BJ25" s="6">
        <v>40.619999999999997</v>
      </c>
      <c r="BK25" s="6">
        <v>36.770000000000003</v>
      </c>
      <c r="BL25" s="6">
        <v>49.26</v>
      </c>
      <c r="BM25" s="6">
        <v>37.4</v>
      </c>
      <c r="BN25" s="6">
        <v>37.39</v>
      </c>
      <c r="BO25" s="6">
        <v>50.02</v>
      </c>
      <c r="BP25">
        <f t="shared" si="0"/>
        <v>41.285681818181786</v>
      </c>
      <c r="BQ25" s="12">
        <v>0.375</v>
      </c>
    </row>
    <row r="26" spans="1:69" ht="17.5" thickBot="1" x14ac:dyDescent="0.5">
      <c r="A26" s="5">
        <v>25</v>
      </c>
      <c r="B26" s="6">
        <v>39.729999999999997</v>
      </c>
      <c r="C26" s="6">
        <v>36.57</v>
      </c>
      <c r="D26" s="6">
        <v>44.98</v>
      </c>
      <c r="E26" s="6">
        <v>47.11</v>
      </c>
      <c r="F26" s="6">
        <v>45.19</v>
      </c>
      <c r="G26" s="6">
        <v>37.81</v>
      </c>
      <c r="H26" s="6">
        <v>39.82</v>
      </c>
      <c r="I26" s="6">
        <v>48.27</v>
      </c>
      <c r="J26" s="6">
        <v>38.880000000000003</v>
      </c>
      <c r="K26" s="6">
        <v>38.97</v>
      </c>
      <c r="L26" s="6">
        <v>48.7</v>
      </c>
      <c r="M26" s="6">
        <v>39.46</v>
      </c>
      <c r="N26" s="6">
        <v>36.47</v>
      </c>
      <c r="O26" s="6">
        <v>43.47</v>
      </c>
      <c r="P26" s="6">
        <v>46.23</v>
      </c>
      <c r="Q26" s="6">
        <v>45.27</v>
      </c>
      <c r="R26" s="6">
        <v>41.54</v>
      </c>
      <c r="S26" s="6">
        <v>37.82</v>
      </c>
      <c r="T26" s="6">
        <v>49.68</v>
      </c>
      <c r="U26" s="6">
        <v>37.479999999999997</v>
      </c>
      <c r="V26" s="6">
        <v>36.69</v>
      </c>
      <c r="W26" s="6">
        <v>48.73</v>
      </c>
      <c r="X26" s="6">
        <v>37.5</v>
      </c>
      <c r="Y26" s="6">
        <v>35.159999999999997</v>
      </c>
      <c r="Z26" s="6">
        <v>43.89</v>
      </c>
      <c r="AA26" s="6">
        <v>46.46</v>
      </c>
      <c r="AB26" s="6">
        <v>44.65</v>
      </c>
      <c r="AC26" s="6">
        <v>40.93</v>
      </c>
      <c r="AD26" s="6">
        <v>39.51</v>
      </c>
      <c r="AE26" s="6">
        <v>48.8</v>
      </c>
      <c r="AF26" s="6">
        <v>37.950000000000003</v>
      </c>
      <c r="AG26" s="6">
        <v>36.85</v>
      </c>
      <c r="AH26" s="6">
        <v>49.39</v>
      </c>
      <c r="AI26" s="6">
        <v>39.770000000000003</v>
      </c>
      <c r="AJ26" s="6">
        <v>37.520000000000003</v>
      </c>
      <c r="AK26" s="6">
        <v>44.11</v>
      </c>
      <c r="AL26" s="6">
        <v>47.03</v>
      </c>
      <c r="AM26" s="6">
        <v>45.77</v>
      </c>
      <c r="AN26" s="6">
        <v>42.51</v>
      </c>
      <c r="AO26" s="6">
        <v>40.340000000000003</v>
      </c>
      <c r="AP26" s="6">
        <v>49.81</v>
      </c>
      <c r="AQ26" s="6">
        <v>38.89</v>
      </c>
      <c r="AR26" s="6">
        <v>37.83</v>
      </c>
      <c r="AS26" s="6">
        <v>47.72</v>
      </c>
      <c r="AT26" s="6">
        <v>39.69</v>
      </c>
      <c r="AU26" s="6">
        <v>34.619999999999997</v>
      </c>
      <c r="AV26" s="6">
        <v>43.94</v>
      </c>
      <c r="AW26" s="6">
        <v>48.16</v>
      </c>
      <c r="AX26" s="6">
        <v>46.08</v>
      </c>
      <c r="AY26" s="6">
        <v>40.619999999999997</v>
      </c>
      <c r="AZ26" s="6">
        <v>36.770000000000003</v>
      </c>
      <c r="BA26" s="6">
        <v>49.26</v>
      </c>
      <c r="BB26" s="6">
        <v>37.4</v>
      </c>
      <c r="BC26" s="6">
        <v>37.39</v>
      </c>
      <c r="BD26" s="6">
        <v>50.02</v>
      </c>
      <c r="BE26" s="6">
        <v>39.229999999999997</v>
      </c>
      <c r="BF26" s="6">
        <v>36.25</v>
      </c>
      <c r="BG26" s="6">
        <v>43.83</v>
      </c>
      <c r="BH26" s="6">
        <v>44.62</v>
      </c>
      <c r="BI26" s="6">
        <v>45.72</v>
      </c>
      <c r="BJ26" s="6">
        <v>40.39</v>
      </c>
      <c r="BK26" s="6">
        <v>38.61</v>
      </c>
      <c r="BL26" s="6">
        <v>49.21</v>
      </c>
      <c r="BM26" s="6">
        <v>39.049999999999997</v>
      </c>
      <c r="BN26" s="6">
        <v>38.08</v>
      </c>
      <c r="BO26" s="6">
        <v>50.04</v>
      </c>
      <c r="BP26">
        <f t="shared" si="0"/>
        <v>41.645479797979782</v>
      </c>
      <c r="BQ26" s="12">
        <v>0.38194444444444442</v>
      </c>
    </row>
    <row r="27" spans="1:69" ht="17.5" thickBot="1" x14ac:dyDescent="0.5">
      <c r="A27" s="5">
        <v>26</v>
      </c>
      <c r="B27" s="6">
        <v>39.46</v>
      </c>
      <c r="C27" s="6">
        <v>36.47</v>
      </c>
      <c r="D27" s="6">
        <v>43.47</v>
      </c>
      <c r="E27" s="6">
        <v>46.23</v>
      </c>
      <c r="F27" s="6">
        <v>45.27</v>
      </c>
      <c r="G27" s="6">
        <v>41.54</v>
      </c>
      <c r="H27" s="6">
        <v>37.82</v>
      </c>
      <c r="I27" s="6">
        <v>49.68</v>
      </c>
      <c r="J27" s="6">
        <v>37.479999999999997</v>
      </c>
      <c r="K27" s="6">
        <v>36.69</v>
      </c>
      <c r="L27" s="6">
        <v>48.73</v>
      </c>
      <c r="M27" s="6">
        <v>37.5</v>
      </c>
      <c r="N27" s="6">
        <v>35.159999999999997</v>
      </c>
      <c r="O27" s="6">
        <v>43.89</v>
      </c>
      <c r="P27" s="6">
        <v>46.46</v>
      </c>
      <c r="Q27" s="6">
        <v>44.65</v>
      </c>
      <c r="R27" s="6">
        <v>40.93</v>
      </c>
      <c r="S27" s="6">
        <v>39.51</v>
      </c>
      <c r="T27" s="6">
        <v>48.8</v>
      </c>
      <c r="U27" s="6">
        <v>37.950000000000003</v>
      </c>
      <c r="V27" s="6">
        <v>36.85</v>
      </c>
      <c r="W27" s="6">
        <v>49.39</v>
      </c>
      <c r="X27" s="6">
        <v>39.770000000000003</v>
      </c>
      <c r="Y27" s="6">
        <v>37.520000000000003</v>
      </c>
      <c r="Z27" s="6">
        <v>44.11</v>
      </c>
      <c r="AA27" s="6">
        <v>47.03</v>
      </c>
      <c r="AB27" s="6">
        <v>45.77</v>
      </c>
      <c r="AC27" s="6">
        <v>42.51</v>
      </c>
      <c r="AD27" s="6">
        <v>40.340000000000003</v>
      </c>
      <c r="AE27" s="6">
        <v>49.81</v>
      </c>
      <c r="AF27" s="6">
        <v>38.89</v>
      </c>
      <c r="AG27" s="6">
        <v>37.83</v>
      </c>
      <c r="AH27" s="6">
        <v>47.72</v>
      </c>
      <c r="AI27" s="6">
        <v>39.69</v>
      </c>
      <c r="AJ27" s="6">
        <v>34.619999999999997</v>
      </c>
      <c r="AK27" s="6">
        <v>43.94</v>
      </c>
      <c r="AL27" s="6">
        <v>48.16</v>
      </c>
      <c r="AM27" s="6">
        <v>46.08</v>
      </c>
      <c r="AN27" s="6">
        <v>40.619999999999997</v>
      </c>
      <c r="AO27" s="6">
        <v>36.770000000000003</v>
      </c>
      <c r="AP27" s="6">
        <v>49.26</v>
      </c>
      <c r="AQ27" s="6">
        <v>37.4</v>
      </c>
      <c r="AR27" s="6">
        <v>37.39</v>
      </c>
      <c r="AS27" s="6">
        <v>50.02</v>
      </c>
      <c r="AT27" s="6">
        <v>39.229999999999997</v>
      </c>
      <c r="AU27" s="6">
        <v>36.25</v>
      </c>
      <c r="AV27" s="6">
        <v>43.83</v>
      </c>
      <c r="AW27" s="6">
        <v>44.62</v>
      </c>
      <c r="AX27" s="6">
        <v>45.72</v>
      </c>
      <c r="AY27" s="6">
        <v>40.39</v>
      </c>
      <c r="AZ27" s="6">
        <v>38.61</v>
      </c>
      <c r="BA27" s="6">
        <v>49.21</v>
      </c>
      <c r="BB27" s="6">
        <v>39.049999999999997</v>
      </c>
      <c r="BC27" s="6">
        <v>38.08</v>
      </c>
      <c r="BD27" s="6">
        <v>50.04</v>
      </c>
      <c r="BE27" s="6">
        <v>38.020000000000003</v>
      </c>
      <c r="BF27" s="6">
        <v>34.22</v>
      </c>
      <c r="BG27" s="6">
        <v>44.35</v>
      </c>
      <c r="BH27" s="6">
        <v>44.81</v>
      </c>
      <c r="BI27" s="6">
        <v>44.28</v>
      </c>
      <c r="BJ27" s="6">
        <v>37.99</v>
      </c>
      <c r="BK27" s="6">
        <v>39.729999999999997</v>
      </c>
      <c r="BL27" s="6">
        <v>47.84</v>
      </c>
      <c r="BM27" s="6">
        <v>38.35</v>
      </c>
      <c r="BN27" s="6">
        <v>36.39</v>
      </c>
      <c r="BO27" s="6">
        <v>48.76</v>
      </c>
      <c r="BP27">
        <f t="shared" si="0"/>
        <v>41.853661616161595</v>
      </c>
      <c r="BQ27" s="12">
        <v>0.3888888888888889</v>
      </c>
    </row>
    <row r="28" spans="1:69" ht="17.5" thickBot="1" x14ac:dyDescent="0.5">
      <c r="A28" s="5">
        <v>27</v>
      </c>
      <c r="B28" s="6">
        <v>37.5</v>
      </c>
      <c r="C28" s="6">
        <v>35.159999999999997</v>
      </c>
      <c r="D28" s="6">
        <v>43.89</v>
      </c>
      <c r="E28" s="6">
        <v>46.46</v>
      </c>
      <c r="F28" s="6">
        <v>44.65</v>
      </c>
      <c r="G28" s="6">
        <v>40.93</v>
      </c>
      <c r="H28" s="6">
        <v>39.51</v>
      </c>
      <c r="I28" s="6">
        <v>48.8</v>
      </c>
      <c r="J28" s="6">
        <v>37.950000000000003</v>
      </c>
      <c r="K28" s="6">
        <v>36.85</v>
      </c>
      <c r="L28" s="6">
        <v>49.39</v>
      </c>
      <c r="M28" s="6">
        <v>39.770000000000003</v>
      </c>
      <c r="N28" s="6">
        <v>37.520000000000003</v>
      </c>
      <c r="O28" s="6">
        <v>44.11</v>
      </c>
      <c r="P28" s="6">
        <v>47.03</v>
      </c>
      <c r="Q28" s="6">
        <v>45.77</v>
      </c>
      <c r="R28" s="6">
        <v>42.51</v>
      </c>
      <c r="S28" s="6">
        <v>40.340000000000003</v>
      </c>
      <c r="T28" s="6">
        <v>49.81</v>
      </c>
      <c r="U28" s="6">
        <v>38.89</v>
      </c>
      <c r="V28" s="6">
        <v>37.83</v>
      </c>
      <c r="W28" s="6">
        <v>47.72</v>
      </c>
      <c r="X28" s="6">
        <v>39.69</v>
      </c>
      <c r="Y28" s="6">
        <v>34.619999999999997</v>
      </c>
      <c r="Z28" s="6">
        <v>43.94</v>
      </c>
      <c r="AA28" s="6">
        <v>48.16</v>
      </c>
      <c r="AB28" s="6">
        <v>46.08</v>
      </c>
      <c r="AC28" s="6">
        <v>40.619999999999997</v>
      </c>
      <c r="AD28" s="6">
        <v>36.770000000000003</v>
      </c>
      <c r="AE28" s="6">
        <v>49.26</v>
      </c>
      <c r="AF28" s="6">
        <v>37.4</v>
      </c>
      <c r="AG28" s="6">
        <v>37.39</v>
      </c>
      <c r="AH28" s="6">
        <v>50.02</v>
      </c>
      <c r="AI28" s="6">
        <v>39.229999999999997</v>
      </c>
      <c r="AJ28" s="6">
        <v>36.25</v>
      </c>
      <c r="AK28" s="6">
        <v>43.83</v>
      </c>
      <c r="AL28" s="6">
        <v>44.62</v>
      </c>
      <c r="AM28" s="6">
        <v>45.72</v>
      </c>
      <c r="AN28" s="6">
        <v>40.39</v>
      </c>
      <c r="AO28" s="6">
        <v>38.61</v>
      </c>
      <c r="AP28" s="6">
        <v>49.21</v>
      </c>
      <c r="AQ28" s="6">
        <v>39.049999999999997</v>
      </c>
      <c r="AR28" s="6">
        <v>38.08</v>
      </c>
      <c r="AS28" s="6">
        <v>50.04</v>
      </c>
      <c r="AT28" s="6">
        <v>38.020000000000003</v>
      </c>
      <c r="AU28" s="6">
        <v>34.22</v>
      </c>
      <c r="AV28" s="6">
        <v>44.35</v>
      </c>
      <c r="AW28" s="6">
        <v>44.81</v>
      </c>
      <c r="AX28" s="6">
        <v>44.28</v>
      </c>
      <c r="AY28" s="6">
        <v>37.99</v>
      </c>
      <c r="AZ28" s="6">
        <v>39.729999999999997</v>
      </c>
      <c r="BA28" s="6">
        <v>47.84</v>
      </c>
      <c r="BB28" s="6">
        <v>38.35</v>
      </c>
      <c r="BC28" s="6">
        <v>36.39</v>
      </c>
      <c r="BD28" s="6">
        <v>48.76</v>
      </c>
      <c r="BE28" s="6">
        <v>38.15</v>
      </c>
      <c r="BF28" s="6">
        <v>37.42</v>
      </c>
      <c r="BG28" s="6">
        <v>44.05</v>
      </c>
      <c r="BH28" s="6">
        <v>49.15</v>
      </c>
      <c r="BI28" s="6">
        <v>47.31</v>
      </c>
      <c r="BJ28" s="6">
        <v>40.700000000000003</v>
      </c>
      <c r="BK28" s="6">
        <v>39.090000000000003</v>
      </c>
      <c r="BL28" s="6">
        <v>47.78</v>
      </c>
      <c r="BM28" s="6">
        <v>38.11</v>
      </c>
      <c r="BN28" s="6">
        <v>40.04</v>
      </c>
      <c r="BO28" s="6">
        <v>49.11</v>
      </c>
      <c r="BP28">
        <f t="shared" si="0"/>
        <v>42.018813131313131</v>
      </c>
      <c r="BQ28" s="12">
        <v>0.39583333333333331</v>
      </c>
    </row>
    <row r="29" spans="1:69" ht="17.5" thickBot="1" x14ac:dyDescent="0.5">
      <c r="A29" s="5">
        <v>28</v>
      </c>
      <c r="B29" s="6">
        <v>39.770000000000003</v>
      </c>
      <c r="C29" s="6">
        <v>37.520000000000003</v>
      </c>
      <c r="D29" s="6">
        <v>44.11</v>
      </c>
      <c r="E29" s="6">
        <v>47.03</v>
      </c>
      <c r="F29" s="6">
        <v>45.77</v>
      </c>
      <c r="G29" s="6">
        <v>42.51</v>
      </c>
      <c r="H29" s="6">
        <v>40.340000000000003</v>
      </c>
      <c r="I29" s="6">
        <v>49.81</v>
      </c>
      <c r="J29" s="6">
        <v>38.89</v>
      </c>
      <c r="K29" s="6">
        <v>37.83</v>
      </c>
      <c r="L29" s="6">
        <v>47.72</v>
      </c>
      <c r="M29" s="6">
        <v>39.69</v>
      </c>
      <c r="N29" s="6">
        <v>34.619999999999997</v>
      </c>
      <c r="O29" s="6">
        <v>43.94</v>
      </c>
      <c r="P29" s="6">
        <v>48.16</v>
      </c>
      <c r="Q29" s="6">
        <v>46.08</v>
      </c>
      <c r="R29" s="6">
        <v>40.619999999999997</v>
      </c>
      <c r="S29" s="6">
        <v>36.770000000000003</v>
      </c>
      <c r="T29" s="6">
        <v>49.26</v>
      </c>
      <c r="U29" s="6">
        <v>37.4</v>
      </c>
      <c r="V29" s="6">
        <v>37.39</v>
      </c>
      <c r="W29" s="6">
        <v>50.02</v>
      </c>
      <c r="X29" s="6">
        <v>39.229999999999997</v>
      </c>
      <c r="Y29" s="6">
        <v>36.25</v>
      </c>
      <c r="Z29" s="6">
        <v>43.83</v>
      </c>
      <c r="AA29" s="6">
        <v>44.62</v>
      </c>
      <c r="AB29" s="6">
        <v>45.72</v>
      </c>
      <c r="AC29" s="6">
        <v>40.39</v>
      </c>
      <c r="AD29" s="6">
        <v>38.61</v>
      </c>
      <c r="AE29" s="6">
        <v>49.21</v>
      </c>
      <c r="AF29" s="6">
        <v>39.049999999999997</v>
      </c>
      <c r="AG29" s="6">
        <v>38.08</v>
      </c>
      <c r="AH29" s="6">
        <v>50.04</v>
      </c>
      <c r="AI29" s="6">
        <v>38.020000000000003</v>
      </c>
      <c r="AJ29" s="6">
        <v>34.22</v>
      </c>
      <c r="AK29" s="6">
        <v>44.35</v>
      </c>
      <c r="AL29" s="6">
        <v>44.81</v>
      </c>
      <c r="AM29" s="6">
        <v>44.28</v>
      </c>
      <c r="AN29" s="6">
        <v>37.99</v>
      </c>
      <c r="AO29" s="6">
        <v>39.729999999999997</v>
      </c>
      <c r="AP29" s="6">
        <v>47.84</v>
      </c>
      <c r="AQ29" s="6">
        <v>38.35</v>
      </c>
      <c r="AR29" s="6">
        <v>36.39</v>
      </c>
      <c r="AS29" s="6">
        <v>48.76</v>
      </c>
      <c r="AT29" s="6">
        <v>38.15</v>
      </c>
      <c r="AU29" s="6">
        <v>37.42</v>
      </c>
      <c r="AV29" s="6">
        <v>44.05</v>
      </c>
      <c r="AW29" s="6">
        <v>49.15</v>
      </c>
      <c r="AX29" s="6">
        <v>47.31</v>
      </c>
      <c r="AY29" s="6">
        <v>40.700000000000003</v>
      </c>
      <c r="AZ29" s="6">
        <v>39.090000000000003</v>
      </c>
      <c r="BA29" s="6">
        <v>47.78</v>
      </c>
      <c r="BB29" s="6">
        <v>38.11</v>
      </c>
      <c r="BC29" s="6">
        <v>40.04</v>
      </c>
      <c r="BD29" s="6">
        <v>49.11</v>
      </c>
      <c r="BE29" s="6">
        <v>38.31</v>
      </c>
      <c r="BF29" s="6">
        <v>34.25</v>
      </c>
      <c r="BG29" s="6">
        <v>42.81</v>
      </c>
      <c r="BH29" s="6">
        <v>47.57</v>
      </c>
      <c r="BI29" s="6">
        <v>46.12</v>
      </c>
      <c r="BJ29" s="6">
        <v>39.18</v>
      </c>
      <c r="BK29" s="6">
        <v>39.61</v>
      </c>
      <c r="BL29" s="6">
        <v>48.53</v>
      </c>
      <c r="BM29" s="6">
        <v>36.32</v>
      </c>
      <c r="BN29" s="6">
        <v>37.700000000000003</v>
      </c>
      <c r="BO29" s="6">
        <v>48.3</v>
      </c>
      <c r="BP29">
        <f t="shared" si="0"/>
        <v>42.145656565656587</v>
      </c>
      <c r="BQ29" s="12">
        <v>0.40277777777777773</v>
      </c>
    </row>
    <row r="30" spans="1:69" ht="17.5" thickBot="1" x14ac:dyDescent="0.5">
      <c r="A30" s="5">
        <v>29</v>
      </c>
      <c r="B30" s="6">
        <v>39.69</v>
      </c>
      <c r="C30" s="6">
        <v>34.619999999999997</v>
      </c>
      <c r="D30" s="6">
        <v>43.94</v>
      </c>
      <c r="E30" s="6">
        <v>48.16</v>
      </c>
      <c r="F30" s="6">
        <v>46.08</v>
      </c>
      <c r="G30" s="6">
        <v>40.619999999999997</v>
      </c>
      <c r="H30" s="6">
        <v>36.770000000000003</v>
      </c>
      <c r="I30" s="6">
        <v>49.26</v>
      </c>
      <c r="J30" s="6">
        <v>37.4</v>
      </c>
      <c r="K30" s="6">
        <v>37.39</v>
      </c>
      <c r="L30" s="6">
        <v>50.02</v>
      </c>
      <c r="M30" s="6">
        <v>39.229999999999997</v>
      </c>
      <c r="N30" s="6">
        <v>36.25</v>
      </c>
      <c r="O30" s="6">
        <v>43.83</v>
      </c>
      <c r="P30" s="6">
        <v>44.62</v>
      </c>
      <c r="Q30" s="6">
        <v>45.72</v>
      </c>
      <c r="R30" s="6">
        <v>40.39</v>
      </c>
      <c r="S30" s="6">
        <v>38.61</v>
      </c>
      <c r="T30" s="6">
        <v>49.21</v>
      </c>
      <c r="U30" s="6">
        <v>39.049999999999997</v>
      </c>
      <c r="V30" s="6">
        <v>38.08</v>
      </c>
      <c r="W30" s="6">
        <v>50.04</v>
      </c>
      <c r="X30" s="6">
        <v>38.020000000000003</v>
      </c>
      <c r="Y30" s="6">
        <v>34.22</v>
      </c>
      <c r="Z30" s="6">
        <v>44.35</v>
      </c>
      <c r="AA30" s="6">
        <v>44.81</v>
      </c>
      <c r="AB30" s="6">
        <v>44.28</v>
      </c>
      <c r="AC30" s="6">
        <v>37.99</v>
      </c>
      <c r="AD30" s="6">
        <v>39.729999999999997</v>
      </c>
      <c r="AE30" s="6">
        <v>47.84</v>
      </c>
      <c r="AF30" s="6">
        <v>38.35</v>
      </c>
      <c r="AG30" s="6">
        <v>36.39</v>
      </c>
      <c r="AH30" s="6">
        <v>48.76</v>
      </c>
      <c r="AI30" s="6">
        <v>38.15</v>
      </c>
      <c r="AJ30" s="6">
        <v>37.42</v>
      </c>
      <c r="AK30" s="6">
        <v>44.05</v>
      </c>
      <c r="AL30" s="6">
        <v>49.15</v>
      </c>
      <c r="AM30" s="6">
        <v>47.31</v>
      </c>
      <c r="AN30" s="6">
        <v>40.700000000000003</v>
      </c>
      <c r="AO30" s="6">
        <v>39.090000000000003</v>
      </c>
      <c r="AP30" s="6">
        <v>47.78</v>
      </c>
      <c r="AQ30" s="6">
        <v>38.11</v>
      </c>
      <c r="AR30" s="6">
        <v>40.04</v>
      </c>
      <c r="AS30" s="6">
        <v>49.11</v>
      </c>
      <c r="AT30" s="6">
        <v>38.31</v>
      </c>
      <c r="AU30" s="6">
        <v>34.25</v>
      </c>
      <c r="AV30" s="6">
        <v>42.81</v>
      </c>
      <c r="AW30" s="6">
        <v>47.57</v>
      </c>
      <c r="AX30" s="6">
        <v>46.12</v>
      </c>
      <c r="AY30" s="6">
        <v>39.18</v>
      </c>
      <c r="AZ30" s="6">
        <v>39.61</v>
      </c>
      <c r="BA30" s="6">
        <v>48.53</v>
      </c>
      <c r="BB30" s="6">
        <v>36.32</v>
      </c>
      <c r="BC30" s="6">
        <v>37.700000000000003</v>
      </c>
      <c r="BD30" s="6">
        <v>48.3</v>
      </c>
      <c r="BE30" s="6">
        <v>37.409999999999997</v>
      </c>
      <c r="BF30" s="6">
        <v>33.840000000000003</v>
      </c>
      <c r="BG30" s="6">
        <v>42.25</v>
      </c>
      <c r="BH30" s="6">
        <v>45.92</v>
      </c>
      <c r="BI30" s="6">
        <v>46.09</v>
      </c>
      <c r="BJ30" s="6">
        <v>40.590000000000003</v>
      </c>
      <c r="BK30" s="6">
        <v>40.53</v>
      </c>
      <c r="BL30" s="6">
        <v>48.63</v>
      </c>
      <c r="BM30" s="6">
        <v>39.4</v>
      </c>
      <c r="BN30" s="6">
        <v>37.11</v>
      </c>
      <c r="BO30" s="6">
        <v>48.65</v>
      </c>
      <c r="BP30">
        <f t="shared" si="0"/>
        <v>42.158055555555599</v>
      </c>
      <c r="BQ30" s="12">
        <v>0.40972222222222227</v>
      </c>
    </row>
    <row r="31" spans="1:69" ht="17.5" thickBot="1" x14ac:dyDescent="0.5">
      <c r="A31" s="5">
        <v>30</v>
      </c>
      <c r="B31" s="6">
        <v>39.229999999999997</v>
      </c>
      <c r="C31" s="6">
        <v>36.25</v>
      </c>
      <c r="D31" s="6">
        <v>43.83</v>
      </c>
      <c r="E31" s="6">
        <v>44.62</v>
      </c>
      <c r="F31" s="6">
        <v>45.72</v>
      </c>
      <c r="G31" s="6">
        <v>40.39</v>
      </c>
      <c r="H31" s="6">
        <v>38.61</v>
      </c>
      <c r="I31" s="6">
        <v>49.21</v>
      </c>
      <c r="J31" s="6">
        <v>39.049999999999997</v>
      </c>
      <c r="K31" s="6">
        <v>38.08</v>
      </c>
      <c r="L31" s="6">
        <v>50.04</v>
      </c>
      <c r="M31" s="6">
        <v>38.020000000000003</v>
      </c>
      <c r="N31" s="6">
        <v>34.22</v>
      </c>
      <c r="O31" s="6">
        <v>44.35</v>
      </c>
      <c r="P31" s="6">
        <v>44.81</v>
      </c>
      <c r="Q31" s="6">
        <v>44.28</v>
      </c>
      <c r="R31" s="6">
        <v>37.99</v>
      </c>
      <c r="S31" s="6">
        <v>39.729999999999997</v>
      </c>
      <c r="T31" s="6">
        <v>47.84</v>
      </c>
      <c r="U31" s="6">
        <v>38.35</v>
      </c>
      <c r="V31" s="6">
        <v>36.39</v>
      </c>
      <c r="W31" s="6">
        <v>48.76</v>
      </c>
      <c r="X31" s="6">
        <v>38.15</v>
      </c>
      <c r="Y31" s="6">
        <v>37.42</v>
      </c>
      <c r="Z31" s="6">
        <v>44.05</v>
      </c>
      <c r="AA31" s="6">
        <v>49.15</v>
      </c>
      <c r="AB31" s="6">
        <v>47.31</v>
      </c>
      <c r="AC31" s="6">
        <v>40.700000000000003</v>
      </c>
      <c r="AD31" s="6">
        <v>39.090000000000003</v>
      </c>
      <c r="AE31" s="6">
        <v>47.78</v>
      </c>
      <c r="AF31" s="6">
        <v>38.11</v>
      </c>
      <c r="AG31" s="6">
        <v>40.04</v>
      </c>
      <c r="AH31" s="6">
        <v>49.11</v>
      </c>
      <c r="AI31" s="6">
        <v>38.31</v>
      </c>
      <c r="AJ31" s="6">
        <v>34.25</v>
      </c>
      <c r="AK31" s="6">
        <v>42.81</v>
      </c>
      <c r="AL31" s="6">
        <v>47.57</v>
      </c>
      <c r="AM31" s="6">
        <v>46.12</v>
      </c>
      <c r="AN31" s="6">
        <v>39.18</v>
      </c>
      <c r="AO31" s="6">
        <v>39.61</v>
      </c>
      <c r="AP31" s="6">
        <v>48.53</v>
      </c>
      <c r="AQ31" s="6">
        <v>36.32</v>
      </c>
      <c r="AR31" s="6">
        <v>37.700000000000003</v>
      </c>
      <c r="AS31" s="6">
        <v>48.3</v>
      </c>
      <c r="AT31" s="6">
        <v>37.409999999999997</v>
      </c>
      <c r="AU31" s="6">
        <v>33.840000000000003</v>
      </c>
      <c r="AV31" s="6">
        <v>42.25</v>
      </c>
      <c r="AW31" s="6">
        <v>45.92</v>
      </c>
      <c r="AX31" s="6">
        <v>46.09</v>
      </c>
      <c r="AY31" s="6">
        <v>40.590000000000003</v>
      </c>
      <c r="AZ31" s="6">
        <v>40.53</v>
      </c>
      <c r="BA31" s="6">
        <v>48.63</v>
      </c>
      <c r="BB31" s="6">
        <v>39.4</v>
      </c>
      <c r="BC31" s="6">
        <v>37.11</v>
      </c>
      <c r="BD31" s="6">
        <v>48.65</v>
      </c>
      <c r="BE31" s="6">
        <v>38.340000000000003</v>
      </c>
      <c r="BF31" s="6">
        <v>34.909999999999997</v>
      </c>
      <c r="BG31" s="6">
        <v>41.24</v>
      </c>
      <c r="BH31" s="6">
        <v>45</v>
      </c>
      <c r="BI31" s="6">
        <v>45.56</v>
      </c>
      <c r="BJ31" s="6">
        <v>39.99</v>
      </c>
      <c r="BK31" s="6">
        <v>40.130000000000003</v>
      </c>
      <c r="BL31" s="6">
        <v>47.35</v>
      </c>
      <c r="BM31" s="6">
        <v>38.21</v>
      </c>
      <c r="BN31" s="6">
        <v>37.01</v>
      </c>
      <c r="BO31" s="6">
        <v>47.54</v>
      </c>
      <c r="BP31">
        <f t="shared" si="0"/>
        <v>42.120378787878828</v>
      </c>
      <c r="BQ31" s="12">
        <v>0.41666666666666669</v>
      </c>
    </row>
    <row r="32" spans="1:69" ht="17.5" thickBot="1" x14ac:dyDescent="0.5">
      <c r="A32" s="5">
        <v>31</v>
      </c>
      <c r="B32" s="6">
        <v>38.020000000000003</v>
      </c>
      <c r="C32" s="6">
        <v>34.22</v>
      </c>
      <c r="D32" s="6">
        <v>44.35</v>
      </c>
      <c r="E32" s="6">
        <v>44.81</v>
      </c>
      <c r="F32" s="6">
        <v>44.28</v>
      </c>
      <c r="G32" s="6">
        <v>37.99</v>
      </c>
      <c r="H32" s="6">
        <v>39.729999999999997</v>
      </c>
      <c r="I32" s="6">
        <v>47.84</v>
      </c>
      <c r="J32" s="6">
        <v>38.35</v>
      </c>
      <c r="K32" s="6">
        <v>36.39</v>
      </c>
      <c r="L32" s="6">
        <v>48.76</v>
      </c>
      <c r="M32" s="6">
        <v>38.15</v>
      </c>
      <c r="N32" s="6">
        <v>37.42</v>
      </c>
      <c r="O32" s="6">
        <v>44.05</v>
      </c>
      <c r="P32" s="6">
        <v>49.15</v>
      </c>
      <c r="Q32" s="6">
        <v>47.31</v>
      </c>
      <c r="R32" s="6">
        <v>40.700000000000003</v>
      </c>
      <c r="S32" s="6">
        <v>39.090000000000003</v>
      </c>
      <c r="T32" s="6">
        <v>47.78</v>
      </c>
      <c r="U32" s="6">
        <v>38.11</v>
      </c>
      <c r="V32" s="6">
        <v>40.04</v>
      </c>
      <c r="W32" s="6">
        <v>49.11</v>
      </c>
      <c r="X32" s="6">
        <v>38.31</v>
      </c>
      <c r="Y32" s="6">
        <v>34.25</v>
      </c>
      <c r="Z32" s="6">
        <v>42.81</v>
      </c>
      <c r="AA32" s="6">
        <v>47.57</v>
      </c>
      <c r="AB32" s="6">
        <v>46.12</v>
      </c>
      <c r="AC32" s="6">
        <v>39.18</v>
      </c>
      <c r="AD32" s="6">
        <v>39.61</v>
      </c>
      <c r="AE32" s="6">
        <v>48.53</v>
      </c>
      <c r="AF32" s="6">
        <v>36.32</v>
      </c>
      <c r="AG32" s="6">
        <v>37.700000000000003</v>
      </c>
      <c r="AH32" s="6">
        <v>48.3</v>
      </c>
      <c r="AI32" s="6">
        <v>37.409999999999997</v>
      </c>
      <c r="AJ32" s="6">
        <v>33.840000000000003</v>
      </c>
      <c r="AK32" s="6">
        <v>42.25</v>
      </c>
      <c r="AL32" s="6">
        <v>45.92</v>
      </c>
      <c r="AM32" s="6">
        <v>46.09</v>
      </c>
      <c r="AN32" s="6">
        <v>40.590000000000003</v>
      </c>
      <c r="AO32" s="6">
        <v>40.53</v>
      </c>
      <c r="AP32" s="6">
        <v>48.63</v>
      </c>
      <c r="AQ32" s="6">
        <v>39.4</v>
      </c>
      <c r="AR32" s="6">
        <v>37.11</v>
      </c>
      <c r="AS32" s="6">
        <v>48.65</v>
      </c>
      <c r="AT32" s="6">
        <v>38.340000000000003</v>
      </c>
      <c r="AU32" s="6">
        <v>34.909999999999997</v>
      </c>
      <c r="AV32" s="6">
        <v>41.24</v>
      </c>
      <c r="AW32" s="6">
        <v>45</v>
      </c>
      <c r="AX32" s="6">
        <v>45.56</v>
      </c>
      <c r="AY32" s="6">
        <v>39.99</v>
      </c>
      <c r="AZ32" s="6">
        <v>40.130000000000003</v>
      </c>
      <c r="BA32" s="6">
        <v>47.35</v>
      </c>
      <c r="BB32" s="6">
        <v>38.21</v>
      </c>
      <c r="BC32" s="6">
        <v>37.01</v>
      </c>
      <c r="BD32" s="6">
        <v>47.54</v>
      </c>
      <c r="BE32" s="6">
        <v>38.49</v>
      </c>
      <c r="BF32" s="6">
        <v>34.9</v>
      </c>
      <c r="BG32" s="6">
        <v>44.49</v>
      </c>
      <c r="BH32" s="6">
        <v>47.16</v>
      </c>
      <c r="BI32" s="6">
        <v>45.79</v>
      </c>
      <c r="BJ32" s="6">
        <v>41.6</v>
      </c>
      <c r="BK32" s="6">
        <v>39.85</v>
      </c>
      <c r="BL32" s="6">
        <v>50.48</v>
      </c>
      <c r="BM32" s="6">
        <v>38.979999999999997</v>
      </c>
      <c r="BN32" s="6">
        <v>39.83</v>
      </c>
      <c r="BO32" s="6">
        <v>48.68</v>
      </c>
      <c r="BP32">
        <f t="shared" si="0"/>
        <v>42.070025252525262</v>
      </c>
      <c r="BQ32" s="12">
        <v>0.4236111111111111</v>
      </c>
    </row>
    <row r="33" spans="1:69" ht="17.5" thickBot="1" x14ac:dyDescent="0.5">
      <c r="A33" s="5">
        <v>32</v>
      </c>
      <c r="B33" s="6">
        <v>38.15</v>
      </c>
      <c r="C33" s="6">
        <v>37.42</v>
      </c>
      <c r="D33" s="6">
        <v>44.05</v>
      </c>
      <c r="E33" s="6">
        <v>49.15</v>
      </c>
      <c r="F33" s="6">
        <v>47.31</v>
      </c>
      <c r="G33" s="6">
        <v>40.700000000000003</v>
      </c>
      <c r="H33" s="6">
        <v>39.090000000000003</v>
      </c>
      <c r="I33" s="6">
        <v>47.78</v>
      </c>
      <c r="J33" s="6">
        <v>38.11</v>
      </c>
      <c r="K33" s="6">
        <v>40.04</v>
      </c>
      <c r="L33" s="6">
        <v>49.11</v>
      </c>
      <c r="M33" s="6">
        <v>38.31</v>
      </c>
      <c r="N33" s="6">
        <v>34.25</v>
      </c>
      <c r="O33" s="6">
        <v>42.81</v>
      </c>
      <c r="P33" s="6">
        <v>47.57</v>
      </c>
      <c r="Q33" s="6">
        <v>46.12</v>
      </c>
      <c r="R33" s="6">
        <v>39.18</v>
      </c>
      <c r="S33" s="6">
        <v>39.61</v>
      </c>
      <c r="T33" s="6">
        <v>48.53</v>
      </c>
      <c r="U33" s="6">
        <v>36.32</v>
      </c>
      <c r="V33" s="6">
        <v>37.700000000000003</v>
      </c>
      <c r="W33" s="6">
        <v>48.3</v>
      </c>
      <c r="X33" s="6">
        <v>37.409999999999997</v>
      </c>
      <c r="Y33" s="6">
        <v>33.840000000000003</v>
      </c>
      <c r="Z33" s="6">
        <v>42.25</v>
      </c>
      <c r="AA33" s="6">
        <v>45.92</v>
      </c>
      <c r="AB33" s="6">
        <v>46.09</v>
      </c>
      <c r="AC33" s="6">
        <v>40.590000000000003</v>
      </c>
      <c r="AD33" s="6">
        <v>40.53</v>
      </c>
      <c r="AE33" s="6">
        <v>48.63</v>
      </c>
      <c r="AF33" s="6">
        <v>39.4</v>
      </c>
      <c r="AG33" s="6">
        <v>37.11</v>
      </c>
      <c r="AH33" s="6">
        <v>48.65</v>
      </c>
      <c r="AI33" s="6">
        <v>38.340000000000003</v>
      </c>
      <c r="AJ33" s="6">
        <v>34.909999999999997</v>
      </c>
      <c r="AK33" s="6">
        <v>41.24</v>
      </c>
      <c r="AL33" s="6">
        <v>45</v>
      </c>
      <c r="AM33" s="6">
        <v>45.56</v>
      </c>
      <c r="AN33" s="6">
        <v>39.99</v>
      </c>
      <c r="AO33" s="6">
        <v>40.130000000000003</v>
      </c>
      <c r="AP33" s="6">
        <v>47.35</v>
      </c>
      <c r="AQ33" s="6">
        <v>38.21</v>
      </c>
      <c r="AR33" s="6">
        <v>37.01</v>
      </c>
      <c r="AS33" s="6">
        <v>47.54</v>
      </c>
      <c r="AT33" s="6">
        <v>38.49</v>
      </c>
      <c r="AU33" s="6">
        <v>34.9</v>
      </c>
      <c r="AV33" s="6">
        <v>44.49</v>
      </c>
      <c r="AW33" s="6">
        <v>47.16</v>
      </c>
      <c r="AX33" s="6">
        <v>45.79</v>
      </c>
      <c r="AY33" s="6">
        <v>41.6</v>
      </c>
      <c r="AZ33" s="6">
        <v>39.85</v>
      </c>
      <c r="BA33" s="6">
        <v>50.48</v>
      </c>
      <c r="BB33" s="6">
        <v>38.979999999999997</v>
      </c>
      <c r="BC33" s="6">
        <v>39.83</v>
      </c>
      <c r="BD33" s="6">
        <v>48.68</v>
      </c>
      <c r="BE33" s="6">
        <v>39.19</v>
      </c>
      <c r="BF33" s="6">
        <v>35.770000000000003</v>
      </c>
      <c r="BG33" s="6">
        <v>43.74</v>
      </c>
      <c r="BH33" s="6">
        <v>46.4</v>
      </c>
      <c r="BI33" s="6">
        <v>45.96</v>
      </c>
      <c r="BJ33" s="6">
        <v>41.9</v>
      </c>
      <c r="BK33" s="6">
        <v>40.47</v>
      </c>
      <c r="BL33" s="6">
        <v>49.3</v>
      </c>
      <c r="BM33" s="6">
        <v>38.35</v>
      </c>
      <c r="BN33" s="6">
        <v>38.69</v>
      </c>
      <c r="BO33" s="6">
        <v>50.11</v>
      </c>
      <c r="BP33">
        <f t="shared" si="0"/>
        <v>42.086414141414146</v>
      </c>
      <c r="BQ33" s="12">
        <v>0.43055555555555558</v>
      </c>
    </row>
    <row r="34" spans="1:69" ht="17.5" thickBot="1" x14ac:dyDescent="0.5">
      <c r="A34" s="5">
        <v>33</v>
      </c>
      <c r="B34" s="6">
        <v>38.31</v>
      </c>
      <c r="C34" s="6">
        <v>34.25</v>
      </c>
      <c r="D34" s="6">
        <v>42.81</v>
      </c>
      <c r="E34" s="6">
        <v>47.57</v>
      </c>
      <c r="F34" s="6">
        <v>46.12</v>
      </c>
      <c r="G34" s="6">
        <v>39.18</v>
      </c>
      <c r="H34" s="6">
        <v>39.61</v>
      </c>
      <c r="I34" s="6">
        <v>48.53</v>
      </c>
      <c r="J34" s="6">
        <v>36.32</v>
      </c>
      <c r="K34" s="6">
        <v>37.700000000000003</v>
      </c>
      <c r="L34" s="6">
        <v>48.3</v>
      </c>
      <c r="M34" s="6">
        <v>37.409999999999997</v>
      </c>
      <c r="N34" s="6">
        <v>33.840000000000003</v>
      </c>
      <c r="O34" s="6">
        <v>42.25</v>
      </c>
      <c r="P34" s="6">
        <v>45.92</v>
      </c>
      <c r="Q34" s="6">
        <v>46.09</v>
      </c>
      <c r="R34" s="6">
        <v>40.590000000000003</v>
      </c>
      <c r="S34" s="6">
        <v>40.53</v>
      </c>
      <c r="T34" s="6">
        <v>48.63</v>
      </c>
      <c r="U34" s="6">
        <v>39.4</v>
      </c>
      <c r="V34" s="6">
        <v>37.11</v>
      </c>
      <c r="W34" s="6">
        <v>48.65</v>
      </c>
      <c r="X34" s="6">
        <v>38.340000000000003</v>
      </c>
      <c r="Y34" s="6">
        <v>34.909999999999997</v>
      </c>
      <c r="Z34" s="6">
        <v>41.24</v>
      </c>
      <c r="AA34" s="6">
        <v>45</v>
      </c>
      <c r="AB34" s="6">
        <v>45.56</v>
      </c>
      <c r="AC34" s="6">
        <v>39.99</v>
      </c>
      <c r="AD34" s="6">
        <v>40.130000000000003</v>
      </c>
      <c r="AE34" s="6">
        <v>47.35</v>
      </c>
      <c r="AF34" s="6">
        <v>38.21</v>
      </c>
      <c r="AG34" s="6">
        <v>37.01</v>
      </c>
      <c r="AH34" s="6">
        <v>47.54</v>
      </c>
      <c r="AI34" s="6">
        <v>38.49</v>
      </c>
      <c r="AJ34" s="6">
        <v>34.9</v>
      </c>
      <c r="AK34" s="6">
        <v>44.49</v>
      </c>
      <c r="AL34" s="6">
        <v>47.16</v>
      </c>
      <c r="AM34" s="6">
        <v>45.79</v>
      </c>
      <c r="AN34" s="6">
        <v>41.6</v>
      </c>
      <c r="AO34" s="6">
        <v>39.85</v>
      </c>
      <c r="AP34" s="6">
        <v>50.48</v>
      </c>
      <c r="AQ34" s="6">
        <v>38.979999999999997</v>
      </c>
      <c r="AR34" s="6">
        <v>39.83</v>
      </c>
      <c r="AS34" s="6">
        <v>48.68</v>
      </c>
      <c r="AT34" s="6">
        <v>39.19</v>
      </c>
      <c r="AU34" s="6">
        <v>35.770000000000003</v>
      </c>
      <c r="AV34" s="6">
        <v>43.74</v>
      </c>
      <c r="AW34" s="6">
        <v>46.4</v>
      </c>
      <c r="AX34" s="6">
        <v>45.96</v>
      </c>
      <c r="AY34" s="6">
        <v>41.9</v>
      </c>
      <c r="AZ34" s="6">
        <v>40.47</v>
      </c>
      <c r="BA34" s="6">
        <v>49.3</v>
      </c>
      <c r="BB34" s="6">
        <v>38.35</v>
      </c>
      <c r="BC34" s="6">
        <v>38.69</v>
      </c>
      <c r="BD34" s="6">
        <v>50.11</v>
      </c>
      <c r="BE34" s="6">
        <v>38.049999999999997</v>
      </c>
      <c r="BF34" s="6">
        <v>36.64</v>
      </c>
      <c r="BG34" s="6">
        <v>43.74</v>
      </c>
      <c r="BH34" s="6">
        <v>46.11</v>
      </c>
      <c r="BI34" s="6">
        <v>45.42</v>
      </c>
      <c r="BJ34" s="6">
        <v>40.39</v>
      </c>
      <c r="BK34" s="6">
        <v>39.200000000000003</v>
      </c>
      <c r="BL34" s="6">
        <v>47.54</v>
      </c>
      <c r="BM34" s="6">
        <v>37.090000000000003</v>
      </c>
      <c r="BN34" s="6">
        <v>36.51</v>
      </c>
      <c r="BO34" s="6">
        <v>48.2</v>
      </c>
      <c r="BP34">
        <f t="shared" si="0"/>
        <v>42.052070707070698</v>
      </c>
      <c r="BQ34" s="12">
        <v>0.4375</v>
      </c>
    </row>
    <row r="35" spans="1:69" ht="17.5" thickBot="1" x14ac:dyDescent="0.5">
      <c r="A35" s="5">
        <v>34</v>
      </c>
      <c r="B35" s="6">
        <v>37.409999999999997</v>
      </c>
      <c r="C35" s="6">
        <v>33.840000000000003</v>
      </c>
      <c r="D35" s="6">
        <v>42.25</v>
      </c>
      <c r="E35" s="6">
        <v>45.92</v>
      </c>
      <c r="F35" s="6">
        <v>46.09</v>
      </c>
      <c r="G35" s="6">
        <v>40.590000000000003</v>
      </c>
      <c r="H35" s="6">
        <v>40.53</v>
      </c>
      <c r="I35" s="6">
        <v>48.63</v>
      </c>
      <c r="J35" s="6">
        <v>39.4</v>
      </c>
      <c r="K35" s="6">
        <v>37.11</v>
      </c>
      <c r="L35" s="6">
        <v>48.65</v>
      </c>
      <c r="M35" s="6">
        <v>38.340000000000003</v>
      </c>
      <c r="N35" s="6">
        <v>34.909999999999997</v>
      </c>
      <c r="O35" s="6">
        <v>41.24</v>
      </c>
      <c r="P35" s="6">
        <v>45</v>
      </c>
      <c r="Q35" s="6">
        <v>45.56</v>
      </c>
      <c r="R35" s="6">
        <v>39.99</v>
      </c>
      <c r="S35" s="6">
        <v>40.130000000000003</v>
      </c>
      <c r="T35" s="6">
        <v>47.35</v>
      </c>
      <c r="U35" s="6">
        <v>38.21</v>
      </c>
      <c r="V35" s="6">
        <v>37.01</v>
      </c>
      <c r="W35" s="6">
        <v>47.54</v>
      </c>
      <c r="X35" s="6">
        <v>38.49</v>
      </c>
      <c r="Y35" s="6">
        <v>34.9</v>
      </c>
      <c r="Z35" s="6">
        <v>44.49</v>
      </c>
      <c r="AA35" s="6">
        <v>47.16</v>
      </c>
      <c r="AB35" s="6">
        <v>45.79</v>
      </c>
      <c r="AC35" s="6">
        <v>41.6</v>
      </c>
      <c r="AD35" s="6">
        <v>39.85</v>
      </c>
      <c r="AE35" s="6">
        <v>50.48</v>
      </c>
      <c r="AF35" s="6">
        <v>38.979999999999997</v>
      </c>
      <c r="AG35" s="6">
        <v>39.83</v>
      </c>
      <c r="AH35" s="6">
        <v>48.68</v>
      </c>
      <c r="AI35" s="6">
        <v>39.19</v>
      </c>
      <c r="AJ35" s="6">
        <v>35.770000000000003</v>
      </c>
      <c r="AK35" s="6">
        <v>43.74</v>
      </c>
      <c r="AL35" s="6">
        <v>46.4</v>
      </c>
      <c r="AM35" s="6">
        <v>45.96</v>
      </c>
      <c r="AN35" s="6">
        <v>41.9</v>
      </c>
      <c r="AO35" s="6">
        <v>40.47</v>
      </c>
      <c r="AP35" s="6">
        <v>49.3</v>
      </c>
      <c r="AQ35" s="6">
        <v>38.35</v>
      </c>
      <c r="AR35" s="6">
        <v>38.69</v>
      </c>
      <c r="AS35" s="6">
        <v>50.11</v>
      </c>
      <c r="AT35" s="6">
        <v>38.049999999999997</v>
      </c>
      <c r="AU35" s="6">
        <v>36.64</v>
      </c>
      <c r="AV35" s="6">
        <v>43.74</v>
      </c>
      <c r="AW35" s="6">
        <v>46.11</v>
      </c>
      <c r="AX35" s="6">
        <v>45.42</v>
      </c>
      <c r="AY35" s="6">
        <v>40.39</v>
      </c>
      <c r="AZ35" s="6">
        <v>39.200000000000003</v>
      </c>
      <c r="BA35" s="6">
        <v>47.54</v>
      </c>
      <c r="BB35" s="6">
        <v>37.090000000000003</v>
      </c>
      <c r="BC35" s="6">
        <v>36.51</v>
      </c>
      <c r="BD35" s="6">
        <v>48.2</v>
      </c>
      <c r="BE35" s="6">
        <v>38.119999999999997</v>
      </c>
      <c r="BF35" s="6">
        <v>34.75</v>
      </c>
      <c r="BG35" s="6">
        <v>42.02</v>
      </c>
      <c r="BH35" s="6">
        <v>46.99</v>
      </c>
      <c r="BI35" s="6">
        <v>45.64</v>
      </c>
      <c r="BJ35" s="6">
        <v>39.6</v>
      </c>
      <c r="BK35" s="6">
        <v>39.92</v>
      </c>
      <c r="BL35" s="6">
        <v>48.84</v>
      </c>
      <c r="BM35" s="6">
        <v>38.01</v>
      </c>
      <c r="BN35" s="6">
        <v>37.53</v>
      </c>
      <c r="BO35" s="6">
        <v>48.38</v>
      </c>
      <c r="BP35">
        <f t="shared" si="0"/>
        <v>42.026540404040396</v>
      </c>
      <c r="BQ35" s="12">
        <v>0.44444444444444442</v>
      </c>
    </row>
    <row r="36" spans="1:69" ht="17.5" thickBot="1" x14ac:dyDescent="0.5">
      <c r="A36" s="5">
        <v>35</v>
      </c>
      <c r="B36" s="6">
        <v>38.340000000000003</v>
      </c>
      <c r="C36" s="6">
        <v>34.909999999999997</v>
      </c>
      <c r="D36" s="6">
        <v>41.24</v>
      </c>
      <c r="E36" s="6">
        <v>45</v>
      </c>
      <c r="F36" s="6">
        <v>45.56</v>
      </c>
      <c r="G36" s="6">
        <v>39.99</v>
      </c>
      <c r="H36" s="6">
        <v>40.130000000000003</v>
      </c>
      <c r="I36" s="6">
        <v>47.35</v>
      </c>
      <c r="J36" s="6">
        <v>38.21</v>
      </c>
      <c r="K36" s="6">
        <v>37.01</v>
      </c>
      <c r="L36" s="6">
        <v>47.54</v>
      </c>
      <c r="M36" s="6">
        <v>38.49</v>
      </c>
      <c r="N36" s="6">
        <v>34.9</v>
      </c>
      <c r="O36" s="6">
        <v>44.49</v>
      </c>
      <c r="P36" s="6">
        <v>47.16</v>
      </c>
      <c r="Q36" s="6">
        <v>45.79</v>
      </c>
      <c r="R36" s="6">
        <v>41.6</v>
      </c>
      <c r="S36" s="6">
        <v>39.85</v>
      </c>
      <c r="T36" s="6">
        <v>50.48</v>
      </c>
      <c r="U36" s="6">
        <v>38.979999999999997</v>
      </c>
      <c r="V36" s="6">
        <v>39.83</v>
      </c>
      <c r="W36" s="6">
        <v>48.68</v>
      </c>
      <c r="X36" s="6">
        <v>39.19</v>
      </c>
      <c r="Y36" s="6">
        <v>35.770000000000003</v>
      </c>
      <c r="Z36" s="6">
        <v>43.74</v>
      </c>
      <c r="AA36" s="6">
        <v>46.4</v>
      </c>
      <c r="AB36" s="6">
        <v>45.96</v>
      </c>
      <c r="AC36" s="6">
        <v>41.9</v>
      </c>
      <c r="AD36" s="6">
        <v>40.47</v>
      </c>
      <c r="AE36" s="6">
        <v>49.3</v>
      </c>
      <c r="AF36" s="6">
        <v>38.35</v>
      </c>
      <c r="AG36" s="6">
        <v>38.69</v>
      </c>
      <c r="AH36" s="6">
        <v>50.11</v>
      </c>
      <c r="AI36" s="6">
        <v>38.049999999999997</v>
      </c>
      <c r="AJ36" s="6">
        <v>36.64</v>
      </c>
      <c r="AK36" s="6">
        <v>43.74</v>
      </c>
      <c r="AL36" s="6">
        <v>46.11</v>
      </c>
      <c r="AM36" s="6">
        <v>45.42</v>
      </c>
      <c r="AN36" s="6">
        <v>40.39</v>
      </c>
      <c r="AO36" s="6">
        <v>39.200000000000003</v>
      </c>
      <c r="AP36" s="6">
        <v>47.54</v>
      </c>
      <c r="AQ36" s="6">
        <v>37.090000000000003</v>
      </c>
      <c r="AR36" s="6">
        <v>36.51</v>
      </c>
      <c r="AS36" s="6">
        <v>48.2</v>
      </c>
      <c r="AT36" s="6">
        <v>38.119999999999997</v>
      </c>
      <c r="AU36" s="6">
        <v>34.75</v>
      </c>
      <c r="AV36" s="6">
        <v>42.02</v>
      </c>
      <c r="AW36" s="6">
        <v>46.99</v>
      </c>
      <c r="AX36" s="6">
        <v>45.64</v>
      </c>
      <c r="AY36" s="6">
        <v>39.6</v>
      </c>
      <c r="AZ36" s="6">
        <v>39.92</v>
      </c>
      <c r="BA36" s="6">
        <v>48.84</v>
      </c>
      <c r="BB36" s="6">
        <v>38.01</v>
      </c>
      <c r="BC36" s="6">
        <v>37.53</v>
      </c>
      <c r="BD36" s="6">
        <v>48.38</v>
      </c>
      <c r="BE36" s="6">
        <v>38</v>
      </c>
      <c r="BF36" s="6">
        <v>35.74</v>
      </c>
      <c r="BG36" s="6">
        <v>42.86</v>
      </c>
      <c r="BH36" s="6">
        <v>48.61</v>
      </c>
      <c r="BI36" s="6">
        <v>46.67</v>
      </c>
      <c r="BJ36" s="6">
        <v>40.93</v>
      </c>
      <c r="BK36" s="6">
        <v>38.47</v>
      </c>
      <c r="BL36" s="6">
        <v>49.68</v>
      </c>
      <c r="BM36" s="6">
        <v>38.44</v>
      </c>
      <c r="BN36" s="6">
        <v>37.24</v>
      </c>
      <c r="BO36" s="6">
        <v>50.36</v>
      </c>
      <c r="BP36">
        <f t="shared" si="0"/>
        <v>42.045101010101014</v>
      </c>
      <c r="BQ36" s="12">
        <v>0.4513888888888889</v>
      </c>
    </row>
    <row r="37" spans="1:69" ht="17.5" thickBot="1" x14ac:dyDescent="0.5">
      <c r="A37" s="5">
        <v>36</v>
      </c>
      <c r="B37" s="6">
        <v>38.49</v>
      </c>
      <c r="C37" s="6">
        <v>34.9</v>
      </c>
      <c r="D37" s="6">
        <v>44.49</v>
      </c>
      <c r="E37" s="6">
        <v>47.16</v>
      </c>
      <c r="F37" s="6">
        <v>45.79</v>
      </c>
      <c r="G37" s="6">
        <v>41.6</v>
      </c>
      <c r="H37" s="6">
        <v>39.85</v>
      </c>
      <c r="I37" s="6">
        <v>50.48</v>
      </c>
      <c r="J37" s="6">
        <v>38.979999999999997</v>
      </c>
      <c r="K37" s="6">
        <v>39.83</v>
      </c>
      <c r="L37" s="6">
        <v>48.68</v>
      </c>
      <c r="M37" s="6">
        <v>39.19</v>
      </c>
      <c r="N37" s="6">
        <v>35.770000000000003</v>
      </c>
      <c r="O37" s="6">
        <v>43.74</v>
      </c>
      <c r="P37" s="6">
        <v>46.4</v>
      </c>
      <c r="Q37" s="6">
        <v>45.96</v>
      </c>
      <c r="R37" s="6">
        <v>41.9</v>
      </c>
      <c r="S37" s="6">
        <v>40.47</v>
      </c>
      <c r="T37" s="6">
        <v>49.3</v>
      </c>
      <c r="U37" s="6">
        <v>38.35</v>
      </c>
      <c r="V37" s="6">
        <v>38.69</v>
      </c>
      <c r="W37" s="6">
        <v>50.11</v>
      </c>
      <c r="X37" s="6">
        <v>38.049999999999997</v>
      </c>
      <c r="Y37" s="6">
        <v>36.64</v>
      </c>
      <c r="Z37" s="6">
        <v>43.74</v>
      </c>
      <c r="AA37" s="6">
        <v>46.11</v>
      </c>
      <c r="AB37" s="6">
        <v>45.42</v>
      </c>
      <c r="AC37" s="6">
        <v>40.39</v>
      </c>
      <c r="AD37" s="6">
        <v>39.200000000000003</v>
      </c>
      <c r="AE37" s="6">
        <v>47.54</v>
      </c>
      <c r="AF37" s="6">
        <v>37.090000000000003</v>
      </c>
      <c r="AG37" s="6">
        <v>36.51</v>
      </c>
      <c r="AH37" s="6">
        <v>48.2</v>
      </c>
      <c r="AI37" s="6">
        <v>38.119999999999997</v>
      </c>
      <c r="AJ37" s="6">
        <v>34.75</v>
      </c>
      <c r="AK37" s="6">
        <v>42.02</v>
      </c>
      <c r="AL37" s="6">
        <v>46.99</v>
      </c>
      <c r="AM37" s="6">
        <v>45.64</v>
      </c>
      <c r="AN37" s="6">
        <v>39.6</v>
      </c>
      <c r="AO37" s="6">
        <v>39.92</v>
      </c>
      <c r="AP37" s="6">
        <v>48.84</v>
      </c>
      <c r="AQ37" s="6">
        <v>38.01</v>
      </c>
      <c r="AR37" s="6">
        <v>37.53</v>
      </c>
      <c r="AS37" s="6">
        <v>48.38</v>
      </c>
      <c r="AT37" s="6">
        <v>38</v>
      </c>
      <c r="AU37" s="6">
        <v>35.74</v>
      </c>
      <c r="AV37" s="6">
        <v>42.86</v>
      </c>
      <c r="AW37" s="6">
        <v>48.61</v>
      </c>
      <c r="AX37" s="6">
        <v>46.67</v>
      </c>
      <c r="AY37" s="6">
        <v>40.93</v>
      </c>
      <c r="AZ37" s="6">
        <v>38.47</v>
      </c>
      <c r="BA37" s="6">
        <v>49.68</v>
      </c>
      <c r="BB37" s="6">
        <v>38.44</v>
      </c>
      <c r="BC37" s="6">
        <v>37.24</v>
      </c>
      <c r="BD37" s="6">
        <v>50.36</v>
      </c>
      <c r="BE37" s="6">
        <v>38.89</v>
      </c>
      <c r="BF37" s="6">
        <v>36.54</v>
      </c>
      <c r="BG37" s="6">
        <v>43.3</v>
      </c>
      <c r="BH37" s="6">
        <v>49.14</v>
      </c>
      <c r="BI37" s="6">
        <v>46.29</v>
      </c>
      <c r="BJ37" s="6">
        <v>37.5</v>
      </c>
      <c r="BK37" s="6">
        <v>40.25</v>
      </c>
      <c r="BL37" s="6">
        <v>49.26</v>
      </c>
      <c r="BM37" s="6">
        <v>38.36</v>
      </c>
      <c r="BN37" s="6">
        <v>38.25</v>
      </c>
      <c r="BO37" s="6">
        <v>50.54</v>
      </c>
      <c r="BP37">
        <f t="shared" si="0"/>
        <v>42.118484848484854</v>
      </c>
      <c r="BQ37" s="12">
        <v>0.45833333333333331</v>
      </c>
    </row>
    <row r="38" spans="1:69" ht="17.5" thickBot="1" x14ac:dyDescent="0.5">
      <c r="A38" s="5">
        <v>37</v>
      </c>
      <c r="B38" s="6">
        <v>39.19</v>
      </c>
      <c r="C38" s="6">
        <v>35.770000000000003</v>
      </c>
      <c r="D38" s="6">
        <v>43.74</v>
      </c>
      <c r="E38" s="6">
        <v>46.4</v>
      </c>
      <c r="F38" s="6">
        <v>45.96</v>
      </c>
      <c r="G38" s="6">
        <v>41.9</v>
      </c>
      <c r="H38" s="6">
        <v>40.47</v>
      </c>
      <c r="I38" s="6">
        <v>49.3</v>
      </c>
      <c r="J38" s="6">
        <v>38.35</v>
      </c>
      <c r="K38" s="6">
        <v>38.69</v>
      </c>
      <c r="L38" s="6">
        <v>50.11</v>
      </c>
      <c r="M38" s="6">
        <v>38.049999999999997</v>
      </c>
      <c r="N38" s="6">
        <v>36.64</v>
      </c>
      <c r="O38" s="6">
        <v>43.74</v>
      </c>
      <c r="P38" s="6">
        <v>46.11</v>
      </c>
      <c r="Q38" s="6">
        <v>45.42</v>
      </c>
      <c r="R38" s="6">
        <v>40.39</v>
      </c>
      <c r="S38" s="6">
        <v>39.200000000000003</v>
      </c>
      <c r="T38" s="6">
        <v>47.54</v>
      </c>
      <c r="U38" s="6">
        <v>37.090000000000003</v>
      </c>
      <c r="V38" s="6">
        <v>36.51</v>
      </c>
      <c r="W38" s="6">
        <v>48.2</v>
      </c>
      <c r="X38" s="6">
        <v>38.119999999999997</v>
      </c>
      <c r="Y38" s="6">
        <v>34.75</v>
      </c>
      <c r="Z38" s="6">
        <v>42.02</v>
      </c>
      <c r="AA38" s="6">
        <v>46.99</v>
      </c>
      <c r="AB38" s="6">
        <v>45.64</v>
      </c>
      <c r="AC38" s="6">
        <v>39.6</v>
      </c>
      <c r="AD38" s="6">
        <v>39.92</v>
      </c>
      <c r="AE38" s="6">
        <v>48.84</v>
      </c>
      <c r="AF38" s="6">
        <v>38.01</v>
      </c>
      <c r="AG38" s="6">
        <v>37.53</v>
      </c>
      <c r="AH38" s="6">
        <v>48.38</v>
      </c>
      <c r="AI38" s="6">
        <v>38</v>
      </c>
      <c r="AJ38" s="6">
        <v>35.74</v>
      </c>
      <c r="AK38" s="6">
        <v>42.86</v>
      </c>
      <c r="AL38" s="6">
        <v>48.61</v>
      </c>
      <c r="AM38" s="6">
        <v>46.67</v>
      </c>
      <c r="AN38" s="6">
        <v>40.93</v>
      </c>
      <c r="AO38" s="6">
        <v>38.47</v>
      </c>
      <c r="AP38" s="6">
        <v>49.68</v>
      </c>
      <c r="AQ38" s="6">
        <v>38.44</v>
      </c>
      <c r="AR38" s="6">
        <v>37.24</v>
      </c>
      <c r="AS38" s="6">
        <v>50.36</v>
      </c>
      <c r="AT38" s="6">
        <v>38.89</v>
      </c>
      <c r="AU38" s="6">
        <v>36.54</v>
      </c>
      <c r="AV38" s="6">
        <v>43.3</v>
      </c>
      <c r="AW38" s="6">
        <v>49.14</v>
      </c>
      <c r="AX38" s="6">
        <v>46.29</v>
      </c>
      <c r="AY38" s="6">
        <v>37.5</v>
      </c>
      <c r="AZ38" s="6">
        <v>40.25</v>
      </c>
      <c r="BA38" s="6">
        <v>49.26</v>
      </c>
      <c r="BB38" s="6">
        <v>38.36</v>
      </c>
      <c r="BC38" s="6">
        <v>38.25</v>
      </c>
      <c r="BD38" s="6">
        <v>50.54</v>
      </c>
      <c r="BE38" s="6">
        <v>38.020000000000003</v>
      </c>
      <c r="BF38" s="6">
        <v>36.65</v>
      </c>
      <c r="BG38" s="6">
        <v>43.06</v>
      </c>
      <c r="BH38" s="6">
        <v>45</v>
      </c>
      <c r="BI38" s="6">
        <v>44.61</v>
      </c>
      <c r="BJ38" s="6">
        <v>41.01</v>
      </c>
      <c r="BK38" s="6">
        <v>39.299999999999997</v>
      </c>
      <c r="BL38" s="6">
        <v>48.19</v>
      </c>
      <c r="BM38" s="6">
        <v>37.53</v>
      </c>
      <c r="BN38" s="6">
        <v>39.79</v>
      </c>
      <c r="BO38" s="6">
        <v>49.33</v>
      </c>
      <c r="BP38">
        <f t="shared" si="0"/>
        <v>42.159090909090935</v>
      </c>
      <c r="BQ38" s="12">
        <v>0.46527777777777773</v>
      </c>
    </row>
    <row r="39" spans="1:69" ht="17.5" thickBot="1" x14ac:dyDescent="0.5">
      <c r="A39" s="5">
        <v>38</v>
      </c>
      <c r="B39" s="6">
        <v>38.049999999999997</v>
      </c>
      <c r="C39" s="6">
        <v>36.64</v>
      </c>
      <c r="D39" s="6">
        <v>43.74</v>
      </c>
      <c r="E39" s="6">
        <v>46.11</v>
      </c>
      <c r="F39" s="6">
        <v>45.42</v>
      </c>
      <c r="G39" s="6">
        <v>40.39</v>
      </c>
      <c r="H39" s="6">
        <v>39.200000000000003</v>
      </c>
      <c r="I39" s="6">
        <v>47.54</v>
      </c>
      <c r="J39" s="6">
        <v>37.090000000000003</v>
      </c>
      <c r="K39" s="6">
        <v>36.51</v>
      </c>
      <c r="L39" s="6">
        <v>48.2</v>
      </c>
      <c r="M39" s="6">
        <v>38.119999999999997</v>
      </c>
      <c r="N39" s="6">
        <v>34.75</v>
      </c>
      <c r="O39" s="6">
        <v>42.02</v>
      </c>
      <c r="P39" s="6">
        <v>46.99</v>
      </c>
      <c r="Q39" s="6">
        <v>45.64</v>
      </c>
      <c r="R39" s="6">
        <v>39.6</v>
      </c>
      <c r="S39" s="6">
        <v>39.92</v>
      </c>
      <c r="T39" s="6">
        <v>48.84</v>
      </c>
      <c r="U39" s="6">
        <v>38.01</v>
      </c>
      <c r="V39" s="6">
        <v>37.53</v>
      </c>
      <c r="W39" s="6">
        <v>48.38</v>
      </c>
      <c r="X39" s="6">
        <v>38</v>
      </c>
      <c r="Y39" s="6">
        <v>35.74</v>
      </c>
      <c r="Z39" s="6">
        <v>42.86</v>
      </c>
      <c r="AA39" s="6">
        <v>48.61</v>
      </c>
      <c r="AB39" s="6">
        <v>46.67</v>
      </c>
      <c r="AC39" s="6">
        <v>40.93</v>
      </c>
      <c r="AD39" s="6">
        <v>38.47</v>
      </c>
      <c r="AE39" s="6">
        <v>49.68</v>
      </c>
      <c r="AF39" s="6">
        <v>38.44</v>
      </c>
      <c r="AG39" s="6">
        <v>37.24</v>
      </c>
      <c r="AH39" s="6">
        <v>50.36</v>
      </c>
      <c r="AI39" s="6">
        <v>38.89</v>
      </c>
      <c r="AJ39" s="6">
        <v>36.54</v>
      </c>
      <c r="AK39" s="6">
        <v>43.3</v>
      </c>
      <c r="AL39" s="6">
        <v>49.14</v>
      </c>
      <c r="AM39" s="6">
        <v>46.29</v>
      </c>
      <c r="AN39" s="6">
        <v>37.5</v>
      </c>
      <c r="AO39" s="6">
        <v>40.25</v>
      </c>
      <c r="AP39" s="6">
        <v>49.26</v>
      </c>
      <c r="AQ39" s="6">
        <v>38.36</v>
      </c>
      <c r="AR39" s="6">
        <v>38.25</v>
      </c>
      <c r="AS39" s="6">
        <v>50.54</v>
      </c>
      <c r="AT39" s="6">
        <v>38.020000000000003</v>
      </c>
      <c r="AU39" s="6">
        <v>36.65</v>
      </c>
      <c r="AV39" s="6">
        <v>43.06</v>
      </c>
      <c r="AW39" s="6">
        <v>45</v>
      </c>
      <c r="AX39" s="6">
        <v>44.61</v>
      </c>
      <c r="AY39" s="6">
        <v>41.01</v>
      </c>
      <c r="AZ39" s="6">
        <v>39.299999999999997</v>
      </c>
      <c r="BA39" s="6">
        <v>48.19</v>
      </c>
      <c r="BB39" s="6">
        <v>37.53</v>
      </c>
      <c r="BC39" s="6">
        <v>39.79</v>
      </c>
      <c r="BD39" s="6">
        <v>49.33</v>
      </c>
      <c r="BE39" s="6">
        <v>39.159999999999997</v>
      </c>
      <c r="BF39" s="6">
        <v>36</v>
      </c>
      <c r="BG39" s="6">
        <v>41.82</v>
      </c>
      <c r="BH39" s="6">
        <v>48.14</v>
      </c>
      <c r="BI39" s="6">
        <v>44.16</v>
      </c>
      <c r="BJ39" s="6">
        <v>40.49</v>
      </c>
      <c r="BK39" s="6">
        <v>40.409999999999997</v>
      </c>
      <c r="BL39" s="6">
        <v>47.1</v>
      </c>
      <c r="BM39" s="6">
        <v>38.14</v>
      </c>
      <c r="BN39" s="6">
        <v>37.770000000000003</v>
      </c>
      <c r="BO39" s="6">
        <v>47.05</v>
      </c>
      <c r="BP39">
        <f t="shared" si="0"/>
        <v>42.137121212121265</v>
      </c>
      <c r="BQ39" s="12">
        <v>0.47222222222222227</v>
      </c>
    </row>
    <row r="40" spans="1:69" ht="17.5" thickBot="1" x14ac:dyDescent="0.5">
      <c r="A40" s="5">
        <v>39</v>
      </c>
      <c r="B40" s="6">
        <v>38.119999999999997</v>
      </c>
      <c r="C40" s="6">
        <v>34.75</v>
      </c>
      <c r="D40" s="6">
        <v>42.02</v>
      </c>
      <c r="E40" s="6">
        <v>46.99</v>
      </c>
      <c r="F40" s="6">
        <v>45.64</v>
      </c>
      <c r="G40" s="6">
        <v>39.6</v>
      </c>
      <c r="H40" s="6">
        <v>39.92</v>
      </c>
      <c r="I40" s="6">
        <v>48.84</v>
      </c>
      <c r="J40" s="6">
        <v>38.01</v>
      </c>
      <c r="K40" s="6">
        <v>37.53</v>
      </c>
      <c r="L40" s="6">
        <v>48.38</v>
      </c>
      <c r="M40" s="6">
        <v>38</v>
      </c>
      <c r="N40" s="6">
        <v>35.74</v>
      </c>
      <c r="O40" s="6">
        <v>42.86</v>
      </c>
      <c r="P40" s="6">
        <v>48.61</v>
      </c>
      <c r="Q40" s="6">
        <v>46.67</v>
      </c>
      <c r="R40" s="6">
        <v>40.93</v>
      </c>
      <c r="S40" s="6">
        <v>38.47</v>
      </c>
      <c r="T40" s="6">
        <v>49.68</v>
      </c>
      <c r="U40" s="6">
        <v>38.44</v>
      </c>
      <c r="V40" s="6">
        <v>37.24</v>
      </c>
      <c r="W40" s="6">
        <v>50.36</v>
      </c>
      <c r="X40" s="6">
        <v>38.89</v>
      </c>
      <c r="Y40" s="6">
        <v>36.54</v>
      </c>
      <c r="Z40" s="6">
        <v>43.3</v>
      </c>
      <c r="AA40" s="6">
        <v>49.14</v>
      </c>
      <c r="AB40" s="6">
        <v>46.29</v>
      </c>
      <c r="AC40" s="6">
        <v>37.5</v>
      </c>
      <c r="AD40" s="6">
        <v>40.25</v>
      </c>
      <c r="AE40" s="6">
        <v>49.26</v>
      </c>
      <c r="AF40" s="6">
        <v>38.36</v>
      </c>
      <c r="AG40" s="6">
        <v>38.25</v>
      </c>
      <c r="AH40" s="6">
        <v>50.54</v>
      </c>
      <c r="AI40" s="6">
        <v>38.020000000000003</v>
      </c>
      <c r="AJ40" s="6">
        <v>36.65</v>
      </c>
      <c r="AK40" s="6">
        <v>43.06</v>
      </c>
      <c r="AL40" s="6">
        <v>45</v>
      </c>
      <c r="AM40" s="6">
        <v>44.61</v>
      </c>
      <c r="AN40" s="6">
        <v>41.01</v>
      </c>
      <c r="AO40" s="6">
        <v>39.299999999999997</v>
      </c>
      <c r="AP40" s="6">
        <v>48.19</v>
      </c>
      <c r="AQ40" s="6">
        <v>37.53</v>
      </c>
      <c r="AR40" s="6">
        <v>39.79</v>
      </c>
      <c r="AS40" s="6">
        <v>49.33</v>
      </c>
      <c r="AT40" s="6">
        <v>39.159999999999997</v>
      </c>
      <c r="AU40" s="6">
        <v>36</v>
      </c>
      <c r="AV40" s="6">
        <v>41.82</v>
      </c>
      <c r="AW40" s="6">
        <v>48.14</v>
      </c>
      <c r="AX40" s="6">
        <v>44.16</v>
      </c>
      <c r="AY40" s="6">
        <v>40.49</v>
      </c>
      <c r="AZ40" s="6">
        <v>40.409999999999997</v>
      </c>
      <c r="BA40" s="6">
        <v>47.1</v>
      </c>
      <c r="BB40" s="6">
        <v>38.14</v>
      </c>
      <c r="BC40" s="6">
        <v>37.770000000000003</v>
      </c>
      <c r="BD40" s="6">
        <v>47.05</v>
      </c>
      <c r="BE40" s="6">
        <v>37.840000000000003</v>
      </c>
      <c r="BF40" s="6">
        <v>33.76</v>
      </c>
      <c r="BG40" s="6">
        <v>44.3</v>
      </c>
      <c r="BH40" s="6">
        <v>47.08</v>
      </c>
      <c r="BI40" s="6">
        <v>45.97</v>
      </c>
      <c r="BJ40" s="6">
        <v>43.22</v>
      </c>
      <c r="BK40" s="6">
        <v>38.89</v>
      </c>
      <c r="BL40" s="6">
        <v>49.17</v>
      </c>
      <c r="BM40" s="6">
        <v>37.409999999999997</v>
      </c>
      <c r="BN40" s="6">
        <v>39.119999999999997</v>
      </c>
      <c r="BO40" s="6">
        <v>47</v>
      </c>
      <c r="BP40">
        <f t="shared" si="0"/>
        <v>42.157803030303072</v>
      </c>
      <c r="BQ40" s="12">
        <v>0.47916666666666669</v>
      </c>
    </row>
    <row r="41" spans="1:69" ht="17.5" thickBot="1" x14ac:dyDescent="0.5">
      <c r="A41" s="5">
        <v>40</v>
      </c>
      <c r="B41" s="6">
        <v>38</v>
      </c>
      <c r="C41" s="6">
        <v>35.74</v>
      </c>
      <c r="D41" s="6">
        <v>42.86</v>
      </c>
      <c r="E41" s="6">
        <v>48.61</v>
      </c>
      <c r="F41" s="6">
        <v>46.67</v>
      </c>
      <c r="G41" s="6">
        <v>40.93</v>
      </c>
      <c r="H41" s="6">
        <v>38.47</v>
      </c>
      <c r="I41" s="6">
        <v>49.68</v>
      </c>
      <c r="J41" s="6">
        <v>38.44</v>
      </c>
      <c r="K41" s="6">
        <v>37.24</v>
      </c>
      <c r="L41" s="6">
        <v>50.36</v>
      </c>
      <c r="M41" s="6">
        <v>38.89</v>
      </c>
      <c r="N41" s="6">
        <v>36.54</v>
      </c>
      <c r="O41" s="6">
        <v>43.3</v>
      </c>
      <c r="P41" s="6">
        <v>49.14</v>
      </c>
      <c r="Q41" s="6">
        <v>46.29</v>
      </c>
      <c r="R41" s="6">
        <v>37.5</v>
      </c>
      <c r="S41" s="6">
        <v>40.25</v>
      </c>
      <c r="T41" s="6">
        <v>49.26</v>
      </c>
      <c r="U41" s="6">
        <v>38.36</v>
      </c>
      <c r="V41" s="6">
        <v>38.25</v>
      </c>
      <c r="W41" s="6">
        <v>50.54</v>
      </c>
      <c r="X41" s="6">
        <v>38.020000000000003</v>
      </c>
      <c r="Y41" s="6">
        <v>36.65</v>
      </c>
      <c r="Z41" s="6">
        <v>43.06</v>
      </c>
      <c r="AA41" s="6">
        <v>45</v>
      </c>
      <c r="AB41" s="6">
        <v>44.61</v>
      </c>
      <c r="AC41" s="6">
        <v>41.01</v>
      </c>
      <c r="AD41" s="6">
        <v>39.299999999999997</v>
      </c>
      <c r="AE41" s="6">
        <v>48.19</v>
      </c>
      <c r="AF41" s="6">
        <v>37.53</v>
      </c>
      <c r="AG41" s="6">
        <v>39.79</v>
      </c>
      <c r="AH41" s="6">
        <v>49.33</v>
      </c>
      <c r="AI41" s="6">
        <v>39.159999999999997</v>
      </c>
      <c r="AJ41" s="6">
        <v>36</v>
      </c>
      <c r="AK41" s="6">
        <v>41.82</v>
      </c>
      <c r="AL41" s="6">
        <v>48.14</v>
      </c>
      <c r="AM41" s="6">
        <v>44.16</v>
      </c>
      <c r="AN41" s="6">
        <v>40.49</v>
      </c>
      <c r="AO41" s="6">
        <v>40.409999999999997</v>
      </c>
      <c r="AP41" s="6">
        <v>47.1</v>
      </c>
      <c r="AQ41" s="6">
        <v>38.14</v>
      </c>
      <c r="AR41" s="6">
        <v>37.770000000000003</v>
      </c>
      <c r="AS41" s="6">
        <v>47.05</v>
      </c>
      <c r="AT41" s="6">
        <v>37.840000000000003</v>
      </c>
      <c r="AU41" s="6">
        <v>33.76</v>
      </c>
      <c r="AV41" s="6">
        <v>44.3</v>
      </c>
      <c r="AW41" s="6">
        <v>47.08</v>
      </c>
      <c r="AX41" s="6">
        <v>45.97</v>
      </c>
      <c r="AY41" s="6">
        <v>43.22</v>
      </c>
      <c r="AZ41" s="6">
        <v>38.89</v>
      </c>
      <c r="BA41" s="6">
        <v>49.17</v>
      </c>
      <c r="BB41" s="6">
        <v>37.409999999999997</v>
      </c>
      <c r="BC41" s="6">
        <v>39.119999999999997</v>
      </c>
      <c r="BD41" s="6">
        <v>47</v>
      </c>
      <c r="BE41" s="6">
        <v>40.74</v>
      </c>
      <c r="BF41" s="6">
        <v>36.72</v>
      </c>
      <c r="BG41" s="6">
        <v>41.16</v>
      </c>
      <c r="BH41" s="6">
        <v>47.65</v>
      </c>
      <c r="BI41" s="6">
        <v>45.34</v>
      </c>
      <c r="BJ41" s="6">
        <v>42.37</v>
      </c>
      <c r="BK41" s="6">
        <v>40.32</v>
      </c>
      <c r="BL41" s="6">
        <v>48.21</v>
      </c>
      <c r="BM41" s="6">
        <v>37.58</v>
      </c>
      <c r="BN41" s="6">
        <v>37.520000000000003</v>
      </c>
      <c r="BO41" s="6">
        <v>48.07</v>
      </c>
      <c r="BP41">
        <f t="shared" si="0"/>
        <v>42.190555555555584</v>
      </c>
      <c r="BQ41" s="12">
        <v>0.4861111111111111</v>
      </c>
    </row>
    <row r="42" spans="1:69" ht="17.5" thickBot="1" x14ac:dyDescent="0.5">
      <c r="A42" s="5">
        <v>41</v>
      </c>
      <c r="B42" s="6">
        <v>38.89</v>
      </c>
      <c r="C42" s="6">
        <v>36.54</v>
      </c>
      <c r="D42" s="6">
        <v>43.3</v>
      </c>
      <c r="E42" s="6">
        <v>49.14</v>
      </c>
      <c r="F42" s="6">
        <v>46.29</v>
      </c>
      <c r="G42" s="6">
        <v>37.5</v>
      </c>
      <c r="H42" s="6">
        <v>40.25</v>
      </c>
      <c r="I42" s="6">
        <v>49.26</v>
      </c>
      <c r="J42" s="6">
        <v>38.36</v>
      </c>
      <c r="K42" s="6">
        <v>38.25</v>
      </c>
      <c r="L42" s="6">
        <v>50.54</v>
      </c>
      <c r="M42" s="6">
        <v>38.020000000000003</v>
      </c>
      <c r="N42" s="6">
        <v>36.65</v>
      </c>
      <c r="O42" s="6">
        <v>43.06</v>
      </c>
      <c r="P42" s="6">
        <v>45</v>
      </c>
      <c r="Q42" s="6">
        <v>44.61</v>
      </c>
      <c r="R42" s="6">
        <v>41.01</v>
      </c>
      <c r="S42" s="6">
        <v>39.299999999999997</v>
      </c>
      <c r="T42" s="6">
        <v>48.19</v>
      </c>
      <c r="U42" s="6">
        <v>37.53</v>
      </c>
      <c r="V42" s="6">
        <v>39.79</v>
      </c>
      <c r="W42" s="6">
        <v>49.33</v>
      </c>
      <c r="X42" s="6">
        <v>39.159999999999997</v>
      </c>
      <c r="Y42" s="6">
        <v>36</v>
      </c>
      <c r="Z42" s="6">
        <v>41.82</v>
      </c>
      <c r="AA42" s="6">
        <v>48.14</v>
      </c>
      <c r="AB42" s="6">
        <v>44.16</v>
      </c>
      <c r="AC42" s="6">
        <v>40.49</v>
      </c>
      <c r="AD42" s="6">
        <v>40.409999999999997</v>
      </c>
      <c r="AE42" s="6">
        <v>47.1</v>
      </c>
      <c r="AF42" s="6">
        <v>38.14</v>
      </c>
      <c r="AG42" s="6">
        <v>37.770000000000003</v>
      </c>
      <c r="AH42" s="6">
        <v>47.05</v>
      </c>
      <c r="AI42" s="6">
        <v>37.840000000000003</v>
      </c>
      <c r="AJ42" s="6">
        <v>33.76</v>
      </c>
      <c r="AK42" s="6">
        <v>44.3</v>
      </c>
      <c r="AL42" s="6">
        <v>47.08</v>
      </c>
      <c r="AM42" s="6">
        <v>45.97</v>
      </c>
      <c r="AN42" s="6">
        <v>43.22</v>
      </c>
      <c r="AO42" s="6">
        <v>38.89</v>
      </c>
      <c r="AP42" s="6">
        <v>49.17</v>
      </c>
      <c r="AQ42" s="6">
        <v>37.409999999999997</v>
      </c>
      <c r="AR42" s="6">
        <v>39.119999999999997</v>
      </c>
      <c r="AS42" s="6">
        <v>47</v>
      </c>
      <c r="AT42" s="6">
        <v>40.74</v>
      </c>
      <c r="AU42" s="6">
        <v>36.72</v>
      </c>
      <c r="AV42" s="6">
        <v>41.16</v>
      </c>
      <c r="AW42" s="6">
        <v>47.65</v>
      </c>
      <c r="AX42" s="6">
        <v>45.34</v>
      </c>
      <c r="AY42" s="6">
        <v>42.37</v>
      </c>
      <c r="AZ42" s="6">
        <v>40.32</v>
      </c>
      <c r="BA42" s="6">
        <v>48.21</v>
      </c>
      <c r="BB42" s="6">
        <v>37.58</v>
      </c>
      <c r="BC42" s="6">
        <v>37.520000000000003</v>
      </c>
      <c r="BD42" s="6">
        <v>48.07</v>
      </c>
      <c r="BE42" s="6">
        <v>38.75</v>
      </c>
      <c r="BF42" s="6">
        <v>36.43</v>
      </c>
      <c r="BG42" s="6">
        <v>43.03</v>
      </c>
      <c r="BH42" s="6">
        <v>47.03</v>
      </c>
      <c r="BI42" s="6">
        <v>45.44</v>
      </c>
      <c r="BJ42" s="6">
        <v>39.89</v>
      </c>
      <c r="BK42" s="6">
        <v>38.700000000000003</v>
      </c>
      <c r="BL42" s="6">
        <v>48.62</v>
      </c>
      <c r="BM42" s="6">
        <v>37.24</v>
      </c>
      <c r="BN42" s="6">
        <v>37.32</v>
      </c>
      <c r="BO42" s="6">
        <v>48.13</v>
      </c>
      <c r="BP42">
        <f t="shared" si="0"/>
        <v>42.190479797979798</v>
      </c>
      <c r="BQ42" s="12">
        <v>0.49305555555555558</v>
      </c>
    </row>
    <row r="43" spans="1:69" ht="17.5" thickBot="1" x14ac:dyDescent="0.5">
      <c r="A43" s="5">
        <v>42</v>
      </c>
      <c r="B43" s="6">
        <v>38.020000000000003</v>
      </c>
      <c r="C43" s="6">
        <v>36.65</v>
      </c>
      <c r="D43" s="6">
        <v>43.06</v>
      </c>
      <c r="E43" s="6">
        <v>45</v>
      </c>
      <c r="F43" s="6">
        <v>44.61</v>
      </c>
      <c r="G43" s="6">
        <v>41.01</v>
      </c>
      <c r="H43" s="6">
        <v>39.299999999999997</v>
      </c>
      <c r="I43" s="6">
        <v>48.19</v>
      </c>
      <c r="J43" s="6">
        <v>37.53</v>
      </c>
      <c r="K43" s="6">
        <v>39.79</v>
      </c>
      <c r="L43" s="6">
        <v>49.33</v>
      </c>
      <c r="M43" s="6">
        <v>39.159999999999997</v>
      </c>
      <c r="N43" s="6">
        <v>36</v>
      </c>
      <c r="O43" s="6">
        <v>41.82</v>
      </c>
      <c r="P43" s="6">
        <v>48.14</v>
      </c>
      <c r="Q43" s="6">
        <v>44.16</v>
      </c>
      <c r="R43" s="6">
        <v>40.49</v>
      </c>
      <c r="S43" s="6">
        <v>40.409999999999997</v>
      </c>
      <c r="T43" s="6">
        <v>47.1</v>
      </c>
      <c r="U43" s="6">
        <v>38.14</v>
      </c>
      <c r="V43" s="6">
        <v>37.770000000000003</v>
      </c>
      <c r="W43" s="6">
        <v>47.05</v>
      </c>
      <c r="X43" s="6">
        <v>37.840000000000003</v>
      </c>
      <c r="Y43" s="6">
        <v>33.76</v>
      </c>
      <c r="Z43" s="6">
        <v>44.3</v>
      </c>
      <c r="AA43" s="6">
        <v>47.08</v>
      </c>
      <c r="AB43" s="6">
        <v>45.97</v>
      </c>
      <c r="AC43" s="6">
        <v>43.22</v>
      </c>
      <c r="AD43" s="6">
        <v>38.89</v>
      </c>
      <c r="AE43" s="6">
        <v>49.17</v>
      </c>
      <c r="AF43" s="6">
        <v>37.409999999999997</v>
      </c>
      <c r="AG43" s="6">
        <v>39.119999999999997</v>
      </c>
      <c r="AH43" s="6">
        <v>47</v>
      </c>
      <c r="AI43" s="6">
        <v>40.74</v>
      </c>
      <c r="AJ43" s="6">
        <v>36.72</v>
      </c>
      <c r="AK43" s="6">
        <v>41.16</v>
      </c>
      <c r="AL43" s="6">
        <v>47.65</v>
      </c>
      <c r="AM43" s="6">
        <v>45.34</v>
      </c>
      <c r="AN43" s="6">
        <v>42.37</v>
      </c>
      <c r="AO43" s="6">
        <v>40.32</v>
      </c>
      <c r="AP43" s="6">
        <v>48.21</v>
      </c>
      <c r="AQ43" s="6">
        <v>37.58</v>
      </c>
      <c r="AR43" s="6">
        <v>37.520000000000003</v>
      </c>
      <c r="AS43" s="6">
        <v>48.07</v>
      </c>
      <c r="AT43" s="6">
        <v>38.75</v>
      </c>
      <c r="AU43" s="6">
        <v>36.43</v>
      </c>
      <c r="AV43" s="6">
        <v>43.03</v>
      </c>
      <c r="AW43" s="6">
        <v>47.03</v>
      </c>
      <c r="AX43" s="6">
        <v>45.44</v>
      </c>
      <c r="AY43" s="6">
        <v>39.89</v>
      </c>
      <c r="AZ43" s="6">
        <v>38.700000000000003</v>
      </c>
      <c r="BA43" s="6">
        <v>48.62</v>
      </c>
      <c r="BB43" s="6">
        <v>37.24</v>
      </c>
      <c r="BC43" s="6">
        <v>37.32</v>
      </c>
      <c r="BD43" s="6">
        <v>48.13</v>
      </c>
      <c r="BE43" s="6">
        <v>38.520000000000003</v>
      </c>
      <c r="BF43" s="6">
        <v>34.01</v>
      </c>
      <c r="BG43" s="6">
        <v>42.03</v>
      </c>
      <c r="BH43" s="6">
        <v>47.69</v>
      </c>
      <c r="BI43" s="6">
        <v>44.32</v>
      </c>
      <c r="BJ43" s="6">
        <v>39.9</v>
      </c>
      <c r="BK43" s="6">
        <v>37.68</v>
      </c>
      <c r="BL43" s="6">
        <v>48.34</v>
      </c>
      <c r="BM43" s="6">
        <v>36.200000000000003</v>
      </c>
      <c r="BN43" s="6">
        <v>35.39</v>
      </c>
      <c r="BO43" s="6">
        <v>48.53</v>
      </c>
      <c r="BP43">
        <f t="shared" si="0"/>
        <v>42.117803030303044</v>
      </c>
      <c r="BQ43" s="12">
        <v>0.5</v>
      </c>
    </row>
    <row r="44" spans="1:69" ht="17.5" thickBot="1" x14ac:dyDescent="0.5">
      <c r="A44" s="5">
        <v>43</v>
      </c>
      <c r="B44" s="6">
        <v>39.159999999999997</v>
      </c>
      <c r="C44" s="6">
        <v>36</v>
      </c>
      <c r="D44" s="6">
        <v>41.82</v>
      </c>
      <c r="E44" s="6">
        <v>48.14</v>
      </c>
      <c r="F44" s="6">
        <v>44.16</v>
      </c>
      <c r="G44" s="6">
        <v>40.49</v>
      </c>
      <c r="H44" s="6">
        <v>40.409999999999997</v>
      </c>
      <c r="I44" s="6">
        <v>47.1</v>
      </c>
      <c r="J44" s="6">
        <v>38.14</v>
      </c>
      <c r="K44" s="6">
        <v>37.770000000000003</v>
      </c>
      <c r="L44" s="6">
        <v>47.05</v>
      </c>
      <c r="M44" s="6">
        <v>37.840000000000003</v>
      </c>
      <c r="N44" s="6">
        <v>33.76</v>
      </c>
      <c r="O44" s="6">
        <v>44.3</v>
      </c>
      <c r="P44" s="6">
        <v>47.08</v>
      </c>
      <c r="Q44" s="6">
        <v>45.97</v>
      </c>
      <c r="R44" s="6">
        <v>43.22</v>
      </c>
      <c r="S44" s="6">
        <v>38.89</v>
      </c>
      <c r="T44" s="6">
        <v>49.17</v>
      </c>
      <c r="U44" s="6">
        <v>37.409999999999997</v>
      </c>
      <c r="V44" s="6">
        <v>39.119999999999997</v>
      </c>
      <c r="W44" s="6">
        <v>47</v>
      </c>
      <c r="X44" s="6">
        <v>40.74</v>
      </c>
      <c r="Y44" s="6">
        <v>36.72</v>
      </c>
      <c r="Z44" s="6">
        <v>41.16</v>
      </c>
      <c r="AA44" s="6">
        <v>47.65</v>
      </c>
      <c r="AB44" s="6">
        <v>45.34</v>
      </c>
      <c r="AC44" s="6">
        <v>42.37</v>
      </c>
      <c r="AD44" s="6">
        <v>40.32</v>
      </c>
      <c r="AE44" s="6">
        <v>48.21</v>
      </c>
      <c r="AF44" s="6">
        <v>37.58</v>
      </c>
      <c r="AG44" s="6">
        <v>37.520000000000003</v>
      </c>
      <c r="AH44" s="6">
        <v>48.07</v>
      </c>
      <c r="AI44" s="6">
        <v>38.75</v>
      </c>
      <c r="AJ44" s="6">
        <v>36.43</v>
      </c>
      <c r="AK44" s="6">
        <v>43.03</v>
      </c>
      <c r="AL44" s="6">
        <v>47.03</v>
      </c>
      <c r="AM44" s="6">
        <v>45.44</v>
      </c>
      <c r="AN44" s="6">
        <v>39.89</v>
      </c>
      <c r="AO44" s="6">
        <v>38.700000000000003</v>
      </c>
      <c r="AP44" s="6">
        <v>48.62</v>
      </c>
      <c r="AQ44" s="6">
        <v>37.24</v>
      </c>
      <c r="AR44" s="6">
        <v>37.32</v>
      </c>
      <c r="AS44" s="6">
        <v>48.13</v>
      </c>
      <c r="AT44" s="6">
        <v>38.520000000000003</v>
      </c>
      <c r="AU44" s="6">
        <v>34.01</v>
      </c>
      <c r="AV44" s="6">
        <v>42.03</v>
      </c>
      <c r="AW44" s="6">
        <v>47.69</v>
      </c>
      <c r="AX44" s="6">
        <v>44.32</v>
      </c>
      <c r="AY44" s="6">
        <v>39.9</v>
      </c>
      <c r="AZ44" s="6">
        <v>37.68</v>
      </c>
      <c r="BA44" s="6">
        <v>48.34</v>
      </c>
      <c r="BB44" s="6">
        <v>36.200000000000003</v>
      </c>
      <c r="BC44" s="6">
        <v>35.39</v>
      </c>
      <c r="BD44" s="6">
        <v>48.53</v>
      </c>
      <c r="BE44" s="6">
        <v>38.130000000000003</v>
      </c>
      <c r="BF44" s="6">
        <v>34.409999999999997</v>
      </c>
      <c r="BG44" s="6">
        <v>42.98</v>
      </c>
      <c r="BH44" s="6">
        <v>46.53</v>
      </c>
      <c r="BI44" s="6">
        <v>46.34</v>
      </c>
      <c r="BJ44" s="6">
        <v>39.97</v>
      </c>
      <c r="BK44" s="6">
        <v>39.909999999999997</v>
      </c>
      <c r="BL44" s="6">
        <v>47.92</v>
      </c>
      <c r="BM44" s="6">
        <v>39.33</v>
      </c>
      <c r="BN44" s="6">
        <v>36.99</v>
      </c>
      <c r="BO44" s="6">
        <v>45.77</v>
      </c>
      <c r="BP44">
        <f t="shared" si="0"/>
        <v>42.054090909090917</v>
      </c>
      <c r="BQ44" s="12">
        <v>0.50694444444444442</v>
      </c>
    </row>
    <row r="45" spans="1:69" ht="17.5" thickBot="1" x14ac:dyDescent="0.5">
      <c r="A45" s="5">
        <v>44</v>
      </c>
      <c r="B45" s="6">
        <v>37.840000000000003</v>
      </c>
      <c r="C45" s="6">
        <v>33.76</v>
      </c>
      <c r="D45" s="6">
        <v>44.3</v>
      </c>
      <c r="E45" s="6">
        <v>47.08</v>
      </c>
      <c r="F45" s="6">
        <v>45.97</v>
      </c>
      <c r="G45" s="6">
        <v>43.22</v>
      </c>
      <c r="H45" s="6">
        <v>38.89</v>
      </c>
      <c r="I45" s="6">
        <v>49.17</v>
      </c>
      <c r="J45" s="6">
        <v>37.409999999999997</v>
      </c>
      <c r="K45" s="6">
        <v>39.119999999999997</v>
      </c>
      <c r="L45" s="6">
        <v>47</v>
      </c>
      <c r="M45" s="6">
        <v>40.74</v>
      </c>
      <c r="N45" s="6">
        <v>36.72</v>
      </c>
      <c r="O45" s="6">
        <v>41.16</v>
      </c>
      <c r="P45" s="6">
        <v>47.65</v>
      </c>
      <c r="Q45" s="6">
        <v>45.34</v>
      </c>
      <c r="R45" s="6">
        <v>42.37</v>
      </c>
      <c r="S45" s="6">
        <v>40.32</v>
      </c>
      <c r="T45" s="6">
        <v>48.21</v>
      </c>
      <c r="U45" s="6">
        <v>37.58</v>
      </c>
      <c r="V45" s="6">
        <v>37.520000000000003</v>
      </c>
      <c r="W45" s="6">
        <v>48.07</v>
      </c>
      <c r="X45" s="6">
        <v>38.75</v>
      </c>
      <c r="Y45" s="6">
        <v>36.43</v>
      </c>
      <c r="Z45" s="6">
        <v>43.03</v>
      </c>
      <c r="AA45" s="6">
        <v>47.03</v>
      </c>
      <c r="AB45" s="6">
        <v>45.44</v>
      </c>
      <c r="AC45" s="6">
        <v>39.89</v>
      </c>
      <c r="AD45" s="6">
        <v>38.700000000000003</v>
      </c>
      <c r="AE45" s="6">
        <v>48.62</v>
      </c>
      <c r="AF45" s="6">
        <v>37.24</v>
      </c>
      <c r="AG45" s="6">
        <v>37.32</v>
      </c>
      <c r="AH45" s="6">
        <v>48.13</v>
      </c>
      <c r="AI45" s="6">
        <v>38.520000000000003</v>
      </c>
      <c r="AJ45" s="6">
        <v>34.01</v>
      </c>
      <c r="AK45" s="6">
        <v>42.03</v>
      </c>
      <c r="AL45" s="6">
        <v>47.69</v>
      </c>
      <c r="AM45" s="6">
        <v>44.32</v>
      </c>
      <c r="AN45" s="6">
        <v>39.9</v>
      </c>
      <c r="AO45" s="6">
        <v>37.68</v>
      </c>
      <c r="AP45" s="6">
        <v>48.34</v>
      </c>
      <c r="AQ45" s="6">
        <v>36.200000000000003</v>
      </c>
      <c r="AR45" s="6">
        <v>35.39</v>
      </c>
      <c r="AS45" s="6">
        <v>48.53</v>
      </c>
      <c r="AT45" s="6">
        <v>38.130000000000003</v>
      </c>
      <c r="AU45" s="6">
        <v>34.409999999999997</v>
      </c>
      <c r="AV45" s="6">
        <v>42.98</v>
      </c>
      <c r="AW45" s="6">
        <v>46.53</v>
      </c>
      <c r="AX45" s="6">
        <v>46.34</v>
      </c>
      <c r="AY45" s="6">
        <v>39.97</v>
      </c>
      <c r="AZ45" s="6">
        <v>39.909999999999997</v>
      </c>
      <c r="BA45" s="6">
        <v>47.92</v>
      </c>
      <c r="BB45" s="6">
        <v>39.33</v>
      </c>
      <c r="BC45" s="6">
        <v>36.99</v>
      </c>
      <c r="BD45" s="6">
        <v>45.77</v>
      </c>
      <c r="BE45" s="6">
        <v>38.130000000000003</v>
      </c>
      <c r="BF45" s="6">
        <v>35.770000000000003</v>
      </c>
      <c r="BG45" s="6">
        <v>44.44</v>
      </c>
      <c r="BH45" s="6">
        <v>47.59</v>
      </c>
      <c r="BI45" s="6">
        <v>44.37</v>
      </c>
      <c r="BJ45" s="6">
        <v>39.57</v>
      </c>
      <c r="BK45" s="6">
        <v>36.659999999999997</v>
      </c>
      <c r="BL45" s="6">
        <v>49.95</v>
      </c>
      <c r="BM45" s="6">
        <v>37.880000000000003</v>
      </c>
      <c r="BN45" s="6">
        <v>37.68</v>
      </c>
      <c r="BO45" s="6">
        <v>46.15</v>
      </c>
      <c r="BP45">
        <f t="shared" si="0"/>
        <v>42.00954545454546</v>
      </c>
      <c r="BQ45" s="12">
        <v>0.51388888888888895</v>
      </c>
    </row>
    <row r="46" spans="1:69" ht="17.5" thickBot="1" x14ac:dyDescent="0.5">
      <c r="A46" s="5">
        <v>45</v>
      </c>
      <c r="B46" s="6">
        <v>40.74</v>
      </c>
      <c r="C46" s="6">
        <v>36.72</v>
      </c>
      <c r="D46" s="6">
        <v>41.16</v>
      </c>
      <c r="E46" s="6">
        <v>47.65</v>
      </c>
      <c r="F46" s="6">
        <v>45.34</v>
      </c>
      <c r="G46" s="6">
        <v>42.37</v>
      </c>
      <c r="H46" s="6">
        <v>40.32</v>
      </c>
      <c r="I46" s="6">
        <v>48.21</v>
      </c>
      <c r="J46" s="6">
        <v>37.58</v>
      </c>
      <c r="K46" s="6">
        <v>37.520000000000003</v>
      </c>
      <c r="L46" s="6">
        <v>48.07</v>
      </c>
      <c r="M46" s="6">
        <v>38.75</v>
      </c>
      <c r="N46" s="6">
        <v>36.43</v>
      </c>
      <c r="O46" s="6">
        <v>43.03</v>
      </c>
      <c r="P46" s="6">
        <v>47.03</v>
      </c>
      <c r="Q46" s="6">
        <v>45.44</v>
      </c>
      <c r="R46" s="6">
        <v>39.89</v>
      </c>
      <c r="S46" s="6">
        <v>38.700000000000003</v>
      </c>
      <c r="T46" s="6">
        <v>48.62</v>
      </c>
      <c r="U46" s="6">
        <v>37.24</v>
      </c>
      <c r="V46" s="6">
        <v>37.32</v>
      </c>
      <c r="W46" s="6">
        <v>48.13</v>
      </c>
      <c r="X46" s="6">
        <v>38.520000000000003</v>
      </c>
      <c r="Y46" s="6">
        <v>34.01</v>
      </c>
      <c r="Z46" s="6">
        <v>42.03</v>
      </c>
      <c r="AA46" s="6">
        <v>47.69</v>
      </c>
      <c r="AB46" s="6">
        <v>44.32</v>
      </c>
      <c r="AC46" s="6">
        <v>39.9</v>
      </c>
      <c r="AD46" s="6">
        <v>37.68</v>
      </c>
      <c r="AE46" s="6">
        <v>48.34</v>
      </c>
      <c r="AF46" s="6">
        <v>36.200000000000003</v>
      </c>
      <c r="AG46" s="6">
        <v>35.39</v>
      </c>
      <c r="AH46" s="6">
        <v>48.53</v>
      </c>
      <c r="AI46" s="6">
        <v>38.130000000000003</v>
      </c>
      <c r="AJ46" s="6">
        <v>34.409999999999997</v>
      </c>
      <c r="AK46" s="6">
        <v>42.98</v>
      </c>
      <c r="AL46" s="6">
        <v>46.53</v>
      </c>
      <c r="AM46" s="6">
        <v>46.34</v>
      </c>
      <c r="AN46" s="6">
        <v>39.97</v>
      </c>
      <c r="AO46" s="6">
        <v>39.909999999999997</v>
      </c>
      <c r="AP46" s="6">
        <v>47.92</v>
      </c>
      <c r="AQ46" s="6">
        <v>39.33</v>
      </c>
      <c r="AR46" s="6">
        <v>36.99</v>
      </c>
      <c r="AS46" s="6">
        <v>45.77</v>
      </c>
      <c r="AT46" s="6">
        <v>38.130000000000003</v>
      </c>
      <c r="AU46" s="6">
        <v>35.770000000000003</v>
      </c>
      <c r="AV46" s="6">
        <v>44.44</v>
      </c>
      <c r="AW46" s="6">
        <v>47.59</v>
      </c>
      <c r="AX46" s="6">
        <v>44.37</v>
      </c>
      <c r="AY46" s="6">
        <v>39.57</v>
      </c>
      <c r="AZ46" s="6">
        <v>36.659999999999997</v>
      </c>
      <c r="BA46" s="6">
        <v>49.95</v>
      </c>
      <c r="BB46" s="6">
        <v>37.880000000000003</v>
      </c>
      <c r="BC46" s="6">
        <v>37.68</v>
      </c>
      <c r="BD46" s="6">
        <v>46.15</v>
      </c>
      <c r="BE46" s="6">
        <v>39.58</v>
      </c>
      <c r="BF46" s="6">
        <v>37.479999999999997</v>
      </c>
      <c r="BG46" s="6">
        <v>43.9</v>
      </c>
      <c r="BH46" s="6">
        <v>46.25</v>
      </c>
      <c r="BI46" s="6">
        <v>44.55</v>
      </c>
      <c r="BJ46" s="6">
        <v>40.03</v>
      </c>
      <c r="BK46" s="6">
        <v>36.46</v>
      </c>
      <c r="BL46" s="6">
        <v>47.94</v>
      </c>
      <c r="BM46" s="6">
        <v>36.47</v>
      </c>
      <c r="BN46" s="6">
        <v>36.08</v>
      </c>
      <c r="BO46" s="6">
        <v>47.27</v>
      </c>
      <c r="BP46">
        <f t="shared" si="0"/>
        <v>41.933131313131305</v>
      </c>
      <c r="BQ46" s="12">
        <v>0.52083333333333337</v>
      </c>
    </row>
    <row r="47" spans="1:69" ht="17.5" thickBot="1" x14ac:dyDescent="0.5">
      <c r="A47" s="5">
        <v>46</v>
      </c>
      <c r="B47" s="6">
        <v>38.75</v>
      </c>
      <c r="C47" s="6">
        <v>36.43</v>
      </c>
      <c r="D47" s="6">
        <v>43.03</v>
      </c>
      <c r="E47" s="6">
        <v>47.03</v>
      </c>
      <c r="F47" s="6">
        <v>45.44</v>
      </c>
      <c r="G47" s="6">
        <v>39.89</v>
      </c>
      <c r="H47" s="6">
        <v>38.700000000000003</v>
      </c>
      <c r="I47" s="6">
        <v>48.62</v>
      </c>
      <c r="J47" s="6">
        <v>37.24</v>
      </c>
      <c r="K47" s="6">
        <v>37.32</v>
      </c>
      <c r="L47" s="6">
        <v>48.13</v>
      </c>
      <c r="M47" s="6">
        <v>38.520000000000003</v>
      </c>
      <c r="N47" s="6">
        <v>34.01</v>
      </c>
      <c r="O47" s="6">
        <v>42.03</v>
      </c>
      <c r="P47" s="6">
        <v>47.69</v>
      </c>
      <c r="Q47" s="6">
        <v>44.32</v>
      </c>
      <c r="R47" s="6">
        <v>39.9</v>
      </c>
      <c r="S47" s="6">
        <v>37.68</v>
      </c>
      <c r="T47" s="6">
        <v>48.34</v>
      </c>
      <c r="U47" s="6">
        <v>36.200000000000003</v>
      </c>
      <c r="V47" s="6">
        <v>35.39</v>
      </c>
      <c r="W47" s="6">
        <v>48.53</v>
      </c>
      <c r="X47" s="6">
        <v>38.130000000000003</v>
      </c>
      <c r="Y47" s="6">
        <v>34.409999999999997</v>
      </c>
      <c r="Z47" s="6">
        <v>42.98</v>
      </c>
      <c r="AA47" s="6">
        <v>46.53</v>
      </c>
      <c r="AB47" s="6">
        <v>46.34</v>
      </c>
      <c r="AC47" s="6">
        <v>39.97</v>
      </c>
      <c r="AD47" s="6">
        <v>39.909999999999997</v>
      </c>
      <c r="AE47" s="6">
        <v>47.92</v>
      </c>
      <c r="AF47" s="6">
        <v>39.33</v>
      </c>
      <c r="AG47" s="6">
        <v>36.99</v>
      </c>
      <c r="AH47" s="6">
        <v>45.77</v>
      </c>
      <c r="AI47" s="6">
        <v>38.130000000000003</v>
      </c>
      <c r="AJ47" s="6">
        <v>35.770000000000003</v>
      </c>
      <c r="AK47" s="6">
        <v>44.44</v>
      </c>
      <c r="AL47" s="6">
        <v>47.59</v>
      </c>
      <c r="AM47" s="6">
        <v>44.37</v>
      </c>
      <c r="AN47" s="6">
        <v>39.57</v>
      </c>
      <c r="AO47" s="6">
        <v>36.659999999999997</v>
      </c>
      <c r="AP47" s="6">
        <v>49.95</v>
      </c>
      <c r="AQ47" s="6">
        <v>37.880000000000003</v>
      </c>
      <c r="AR47" s="6">
        <v>37.68</v>
      </c>
      <c r="AS47" s="6">
        <v>46.15</v>
      </c>
      <c r="AT47" s="6">
        <v>39.58</v>
      </c>
      <c r="AU47" s="6">
        <v>37.479999999999997</v>
      </c>
      <c r="AV47" s="6">
        <v>43.9</v>
      </c>
      <c r="AW47" s="6">
        <v>46.25</v>
      </c>
      <c r="AX47" s="6">
        <v>44.55</v>
      </c>
      <c r="AY47" s="6">
        <v>40.03</v>
      </c>
      <c r="AZ47" s="6">
        <v>36.46</v>
      </c>
      <c r="BA47" s="6">
        <v>47.94</v>
      </c>
      <c r="BB47" s="6">
        <v>36.47</v>
      </c>
      <c r="BC47" s="6">
        <v>36.08</v>
      </c>
      <c r="BD47" s="6">
        <v>47.27</v>
      </c>
      <c r="BE47" s="6">
        <v>38.22</v>
      </c>
      <c r="BF47" s="6">
        <v>35.94</v>
      </c>
      <c r="BG47" s="6">
        <v>44.27</v>
      </c>
      <c r="BH47" s="6">
        <v>46.41</v>
      </c>
      <c r="BI47" s="6">
        <v>43</v>
      </c>
      <c r="BJ47" s="6">
        <v>40.229999999999997</v>
      </c>
      <c r="BK47" s="6">
        <v>37.14</v>
      </c>
      <c r="BL47" s="6">
        <v>49.1</v>
      </c>
      <c r="BM47" s="6">
        <v>37</v>
      </c>
      <c r="BN47" s="6">
        <v>35.29</v>
      </c>
      <c r="BO47" s="6">
        <v>49.48</v>
      </c>
      <c r="BP47">
        <f t="shared" si="0"/>
        <v>41.817626262626263</v>
      </c>
      <c r="BQ47" s="12">
        <v>0.52777777777777779</v>
      </c>
    </row>
    <row r="48" spans="1:69" ht="17.5" thickBot="1" x14ac:dyDescent="0.5">
      <c r="A48" s="5">
        <v>47</v>
      </c>
      <c r="B48" s="6">
        <v>38.520000000000003</v>
      </c>
      <c r="C48" s="6">
        <v>34.01</v>
      </c>
      <c r="D48" s="6">
        <v>42.03</v>
      </c>
      <c r="E48" s="6">
        <v>47.69</v>
      </c>
      <c r="F48" s="6">
        <v>44.32</v>
      </c>
      <c r="G48" s="6">
        <v>39.9</v>
      </c>
      <c r="H48" s="6">
        <v>37.68</v>
      </c>
      <c r="I48" s="6">
        <v>48.34</v>
      </c>
      <c r="J48" s="6">
        <v>36.200000000000003</v>
      </c>
      <c r="K48" s="6">
        <v>35.39</v>
      </c>
      <c r="L48" s="6">
        <v>48.53</v>
      </c>
      <c r="M48" s="6">
        <v>38.130000000000003</v>
      </c>
      <c r="N48" s="6">
        <v>34.409999999999997</v>
      </c>
      <c r="O48" s="6">
        <v>42.98</v>
      </c>
      <c r="P48" s="6">
        <v>46.53</v>
      </c>
      <c r="Q48" s="6">
        <v>46.34</v>
      </c>
      <c r="R48" s="6">
        <v>39.97</v>
      </c>
      <c r="S48" s="6">
        <v>39.909999999999997</v>
      </c>
      <c r="T48" s="6">
        <v>47.92</v>
      </c>
      <c r="U48" s="6">
        <v>39.33</v>
      </c>
      <c r="V48" s="6">
        <v>36.99</v>
      </c>
      <c r="W48" s="6">
        <v>45.77</v>
      </c>
      <c r="X48" s="6">
        <v>38.130000000000003</v>
      </c>
      <c r="Y48" s="6">
        <v>35.770000000000003</v>
      </c>
      <c r="Z48" s="6">
        <v>44.44</v>
      </c>
      <c r="AA48" s="6">
        <v>47.59</v>
      </c>
      <c r="AB48" s="6">
        <v>44.37</v>
      </c>
      <c r="AC48" s="6">
        <v>39.57</v>
      </c>
      <c r="AD48" s="6">
        <v>36.659999999999997</v>
      </c>
      <c r="AE48" s="6">
        <v>49.95</v>
      </c>
      <c r="AF48" s="6">
        <v>37.880000000000003</v>
      </c>
      <c r="AG48" s="6">
        <v>37.68</v>
      </c>
      <c r="AH48" s="6">
        <v>46.15</v>
      </c>
      <c r="AI48" s="6">
        <v>39.58</v>
      </c>
      <c r="AJ48" s="6">
        <v>37.479999999999997</v>
      </c>
      <c r="AK48" s="6">
        <v>43.9</v>
      </c>
      <c r="AL48" s="6">
        <v>46.25</v>
      </c>
      <c r="AM48" s="6">
        <v>44.55</v>
      </c>
      <c r="AN48" s="6">
        <v>40.03</v>
      </c>
      <c r="AO48" s="6">
        <v>36.46</v>
      </c>
      <c r="AP48" s="6">
        <v>47.94</v>
      </c>
      <c r="AQ48" s="6">
        <v>36.47</v>
      </c>
      <c r="AR48" s="6">
        <v>36.08</v>
      </c>
      <c r="AS48" s="6">
        <v>47.27</v>
      </c>
      <c r="AT48" s="6">
        <v>38.22</v>
      </c>
      <c r="AU48" s="6">
        <v>35.94</v>
      </c>
      <c r="AV48" s="6">
        <v>44.27</v>
      </c>
      <c r="AW48" s="6">
        <v>46.41</v>
      </c>
      <c r="AX48" s="6">
        <v>43</v>
      </c>
      <c r="AY48" s="6">
        <v>40.229999999999997</v>
      </c>
      <c r="AZ48" s="6">
        <v>37.14</v>
      </c>
      <c r="BA48" s="6">
        <v>49.1</v>
      </c>
      <c r="BB48" s="6">
        <v>37</v>
      </c>
      <c r="BC48" s="6">
        <v>35.29</v>
      </c>
      <c r="BD48" s="6">
        <v>49.48</v>
      </c>
      <c r="BE48" s="6">
        <v>38.07</v>
      </c>
      <c r="BF48" s="6">
        <v>35.76</v>
      </c>
      <c r="BG48" s="6">
        <v>44.29</v>
      </c>
      <c r="BH48" s="6">
        <v>46.29</v>
      </c>
      <c r="BI48" s="6">
        <v>46.37</v>
      </c>
      <c r="BJ48" s="6">
        <v>41.38</v>
      </c>
      <c r="BK48" s="6">
        <v>38.17</v>
      </c>
      <c r="BL48" s="6">
        <v>47.93</v>
      </c>
      <c r="BM48" s="6">
        <v>38.71</v>
      </c>
      <c r="BN48" s="6">
        <v>38.619999999999997</v>
      </c>
      <c r="BO48" s="6">
        <v>48.53</v>
      </c>
      <c r="BP48">
        <f t="shared" si="0"/>
        <v>41.72727272727272</v>
      </c>
      <c r="BQ48" s="12">
        <v>0.53472222222222221</v>
      </c>
    </row>
    <row r="49" spans="1:69" ht="17.5" thickBot="1" x14ac:dyDescent="0.5">
      <c r="A49" s="5">
        <v>48</v>
      </c>
      <c r="B49" s="6">
        <v>38.130000000000003</v>
      </c>
      <c r="C49" s="6">
        <v>34.409999999999997</v>
      </c>
      <c r="D49" s="6">
        <v>42.98</v>
      </c>
      <c r="E49" s="6">
        <v>46.53</v>
      </c>
      <c r="F49" s="6">
        <v>46.34</v>
      </c>
      <c r="G49" s="6">
        <v>39.97</v>
      </c>
      <c r="H49" s="6">
        <v>39.909999999999997</v>
      </c>
      <c r="I49" s="6">
        <v>47.92</v>
      </c>
      <c r="J49" s="6">
        <v>39.33</v>
      </c>
      <c r="K49" s="6">
        <v>36.99</v>
      </c>
      <c r="L49" s="6">
        <v>45.77</v>
      </c>
      <c r="M49" s="6">
        <v>38.130000000000003</v>
      </c>
      <c r="N49" s="6">
        <v>35.770000000000003</v>
      </c>
      <c r="O49" s="6">
        <v>44.44</v>
      </c>
      <c r="P49" s="6">
        <v>47.59</v>
      </c>
      <c r="Q49" s="6">
        <v>44.37</v>
      </c>
      <c r="R49" s="6">
        <v>39.57</v>
      </c>
      <c r="S49" s="6">
        <v>36.659999999999997</v>
      </c>
      <c r="T49" s="6">
        <v>49.95</v>
      </c>
      <c r="U49" s="6">
        <v>37.880000000000003</v>
      </c>
      <c r="V49" s="6">
        <v>37.68</v>
      </c>
      <c r="W49" s="6">
        <v>46.15</v>
      </c>
      <c r="X49" s="6">
        <v>39.58</v>
      </c>
      <c r="Y49" s="6">
        <v>37.479999999999997</v>
      </c>
      <c r="Z49" s="6">
        <v>43.9</v>
      </c>
      <c r="AA49" s="6">
        <v>46.25</v>
      </c>
      <c r="AB49" s="6">
        <v>44.55</v>
      </c>
      <c r="AC49" s="6">
        <v>40.03</v>
      </c>
      <c r="AD49" s="6">
        <v>36.46</v>
      </c>
      <c r="AE49" s="6">
        <v>47.94</v>
      </c>
      <c r="AF49" s="6">
        <v>36.47</v>
      </c>
      <c r="AG49" s="6">
        <v>36.08</v>
      </c>
      <c r="AH49" s="6">
        <v>47.27</v>
      </c>
      <c r="AI49" s="6">
        <v>38.22</v>
      </c>
      <c r="AJ49" s="6">
        <v>35.94</v>
      </c>
      <c r="AK49" s="6">
        <v>44.27</v>
      </c>
      <c r="AL49" s="6">
        <v>46.41</v>
      </c>
      <c r="AM49" s="6">
        <v>43</v>
      </c>
      <c r="AN49" s="6">
        <v>40.229999999999997</v>
      </c>
      <c r="AO49" s="6">
        <v>37.14</v>
      </c>
      <c r="AP49" s="6">
        <v>49.1</v>
      </c>
      <c r="AQ49" s="6">
        <v>37</v>
      </c>
      <c r="AR49" s="6">
        <v>35.29</v>
      </c>
      <c r="AS49" s="6">
        <v>49.48</v>
      </c>
      <c r="AT49" s="6">
        <v>38.07</v>
      </c>
      <c r="AU49" s="6">
        <v>35.76</v>
      </c>
      <c r="AV49" s="6">
        <v>44.29</v>
      </c>
      <c r="AW49" s="6">
        <v>46.29</v>
      </c>
      <c r="AX49" s="6">
        <v>46.37</v>
      </c>
      <c r="AY49" s="6">
        <v>41.38</v>
      </c>
      <c r="AZ49" s="6">
        <v>38.17</v>
      </c>
      <c r="BA49" s="6">
        <v>47.93</v>
      </c>
      <c r="BB49" s="6">
        <v>38.71</v>
      </c>
      <c r="BC49" s="6">
        <v>38.619999999999997</v>
      </c>
      <c r="BD49" s="6">
        <v>48.53</v>
      </c>
      <c r="BE49" s="6">
        <v>40.020000000000003</v>
      </c>
      <c r="BF49" s="6">
        <v>35.93</v>
      </c>
      <c r="BG49" s="6">
        <v>45.18</v>
      </c>
      <c r="BH49" s="6">
        <v>46.21</v>
      </c>
      <c r="BI49" s="6">
        <v>45.38</v>
      </c>
      <c r="BJ49" s="6">
        <v>38.380000000000003</v>
      </c>
      <c r="BK49" s="6">
        <v>40.44</v>
      </c>
      <c r="BL49" s="6">
        <v>49.36</v>
      </c>
      <c r="BM49" s="6">
        <v>38.28</v>
      </c>
      <c r="BN49" s="6">
        <v>39.47</v>
      </c>
      <c r="BO49" s="6">
        <v>49.03</v>
      </c>
      <c r="BP49">
        <f t="shared" si="0"/>
        <v>41.714646464646457</v>
      </c>
      <c r="BQ49" s="12">
        <v>0.54166666666666663</v>
      </c>
    </row>
    <row r="50" spans="1:69" ht="17.5" thickBot="1" x14ac:dyDescent="0.5">
      <c r="A50" s="5">
        <v>49</v>
      </c>
      <c r="B50" s="6">
        <v>38.130000000000003</v>
      </c>
      <c r="C50" s="6">
        <v>35.770000000000003</v>
      </c>
      <c r="D50" s="6">
        <v>44.44</v>
      </c>
      <c r="E50" s="6">
        <v>47.59</v>
      </c>
      <c r="F50" s="6">
        <v>44.37</v>
      </c>
      <c r="G50" s="6">
        <v>39.57</v>
      </c>
      <c r="H50" s="6">
        <v>36.659999999999997</v>
      </c>
      <c r="I50" s="6">
        <v>49.95</v>
      </c>
      <c r="J50" s="6">
        <v>37.880000000000003</v>
      </c>
      <c r="K50" s="6">
        <v>37.68</v>
      </c>
      <c r="L50" s="6">
        <v>46.15</v>
      </c>
      <c r="M50" s="6">
        <v>39.58</v>
      </c>
      <c r="N50" s="6">
        <v>37.479999999999997</v>
      </c>
      <c r="O50" s="6">
        <v>43.9</v>
      </c>
      <c r="P50" s="6">
        <v>46.25</v>
      </c>
      <c r="Q50" s="6">
        <v>44.55</v>
      </c>
      <c r="R50" s="6">
        <v>40.03</v>
      </c>
      <c r="S50" s="6">
        <v>36.46</v>
      </c>
      <c r="T50" s="6">
        <v>47.94</v>
      </c>
      <c r="U50" s="6">
        <v>36.47</v>
      </c>
      <c r="V50" s="6">
        <v>36.08</v>
      </c>
      <c r="W50" s="6">
        <v>47.27</v>
      </c>
      <c r="X50" s="6">
        <v>38.22</v>
      </c>
      <c r="Y50" s="6">
        <v>35.94</v>
      </c>
      <c r="Z50" s="6">
        <v>44.27</v>
      </c>
      <c r="AA50" s="6">
        <v>46.41</v>
      </c>
      <c r="AB50" s="6">
        <v>43</v>
      </c>
      <c r="AC50" s="6">
        <v>40.229999999999997</v>
      </c>
      <c r="AD50" s="6">
        <v>37.14</v>
      </c>
      <c r="AE50" s="6">
        <v>49.1</v>
      </c>
      <c r="AF50" s="6">
        <v>37</v>
      </c>
      <c r="AG50" s="6">
        <v>35.29</v>
      </c>
      <c r="AH50" s="6">
        <v>49.48</v>
      </c>
      <c r="AI50" s="6">
        <v>38.07</v>
      </c>
      <c r="AJ50" s="6">
        <v>35.76</v>
      </c>
      <c r="AK50" s="6">
        <v>44.29</v>
      </c>
      <c r="AL50" s="6">
        <v>46.29</v>
      </c>
      <c r="AM50" s="6">
        <v>46.37</v>
      </c>
      <c r="AN50" s="6">
        <v>41.38</v>
      </c>
      <c r="AO50" s="6">
        <v>38.17</v>
      </c>
      <c r="AP50" s="6">
        <v>47.93</v>
      </c>
      <c r="AQ50" s="6">
        <v>38.71</v>
      </c>
      <c r="AR50" s="6">
        <v>38.619999999999997</v>
      </c>
      <c r="AS50" s="6">
        <v>48.53</v>
      </c>
      <c r="AT50" s="6">
        <v>40.020000000000003</v>
      </c>
      <c r="AU50" s="6">
        <v>35.93</v>
      </c>
      <c r="AV50" s="6">
        <v>45.18</v>
      </c>
      <c r="AW50" s="6">
        <v>46.21</v>
      </c>
      <c r="AX50" s="6">
        <v>45.38</v>
      </c>
      <c r="AY50" s="6">
        <v>38.380000000000003</v>
      </c>
      <c r="AZ50" s="6">
        <v>40.44</v>
      </c>
      <c r="BA50" s="6">
        <v>49.36</v>
      </c>
      <c r="BB50" s="6">
        <v>38.28</v>
      </c>
      <c r="BC50" s="6">
        <v>39.47</v>
      </c>
      <c r="BD50" s="6">
        <v>49.03</v>
      </c>
      <c r="BE50" s="6">
        <v>38.64</v>
      </c>
      <c r="BF50" s="6">
        <v>36.61</v>
      </c>
      <c r="BG50" s="6">
        <v>43.04</v>
      </c>
      <c r="BH50" s="6">
        <v>46.12</v>
      </c>
      <c r="BI50" s="6">
        <v>43.94</v>
      </c>
      <c r="BJ50" s="6">
        <v>41.12</v>
      </c>
      <c r="BK50" s="6">
        <v>38.35</v>
      </c>
      <c r="BL50" s="6">
        <v>49.04</v>
      </c>
      <c r="BM50" s="6">
        <v>39.15</v>
      </c>
      <c r="BN50" s="6">
        <v>36.08</v>
      </c>
      <c r="BO50" s="6">
        <v>46.28</v>
      </c>
      <c r="BP50">
        <f t="shared" si="0"/>
        <v>41.712878787878807</v>
      </c>
      <c r="BQ50" s="12">
        <v>0.54861111111111105</v>
      </c>
    </row>
    <row r="51" spans="1:69" ht="17.5" thickBot="1" x14ac:dyDescent="0.5">
      <c r="A51" s="5">
        <v>50</v>
      </c>
      <c r="B51" s="6">
        <v>39.58</v>
      </c>
      <c r="C51" s="6">
        <v>37.479999999999997</v>
      </c>
      <c r="D51" s="6">
        <v>43.9</v>
      </c>
      <c r="E51" s="6">
        <v>46.25</v>
      </c>
      <c r="F51" s="6">
        <v>44.55</v>
      </c>
      <c r="G51" s="6">
        <v>40.03</v>
      </c>
      <c r="H51" s="6">
        <v>36.46</v>
      </c>
      <c r="I51" s="6">
        <v>47.94</v>
      </c>
      <c r="J51" s="6">
        <v>36.47</v>
      </c>
      <c r="K51" s="6">
        <v>36.08</v>
      </c>
      <c r="L51" s="6">
        <v>47.27</v>
      </c>
      <c r="M51" s="6">
        <v>38.22</v>
      </c>
      <c r="N51" s="6">
        <v>35.94</v>
      </c>
      <c r="O51" s="6">
        <v>44.27</v>
      </c>
      <c r="P51" s="6">
        <v>46.41</v>
      </c>
      <c r="Q51" s="6">
        <v>43</v>
      </c>
      <c r="R51" s="6">
        <v>40.229999999999997</v>
      </c>
      <c r="S51" s="6">
        <v>37.14</v>
      </c>
      <c r="T51" s="6">
        <v>49.1</v>
      </c>
      <c r="U51" s="6">
        <v>37</v>
      </c>
      <c r="V51" s="6">
        <v>35.29</v>
      </c>
      <c r="W51" s="6">
        <v>49.48</v>
      </c>
      <c r="X51" s="6">
        <v>38.07</v>
      </c>
      <c r="Y51" s="6">
        <v>35.76</v>
      </c>
      <c r="Z51" s="6">
        <v>44.29</v>
      </c>
      <c r="AA51" s="6">
        <v>46.29</v>
      </c>
      <c r="AB51" s="6">
        <v>46.37</v>
      </c>
      <c r="AC51" s="6">
        <v>41.38</v>
      </c>
      <c r="AD51" s="6">
        <v>38.17</v>
      </c>
      <c r="AE51" s="6">
        <v>47.93</v>
      </c>
      <c r="AF51" s="6">
        <v>38.71</v>
      </c>
      <c r="AG51" s="6">
        <v>38.619999999999997</v>
      </c>
      <c r="AH51" s="6">
        <v>48.53</v>
      </c>
      <c r="AI51" s="6">
        <v>40.020000000000003</v>
      </c>
      <c r="AJ51" s="6">
        <v>35.93</v>
      </c>
      <c r="AK51" s="6">
        <v>45.18</v>
      </c>
      <c r="AL51" s="6">
        <v>46.21</v>
      </c>
      <c r="AM51" s="6">
        <v>45.38</v>
      </c>
      <c r="AN51" s="6">
        <v>38.380000000000003</v>
      </c>
      <c r="AO51" s="6">
        <v>40.44</v>
      </c>
      <c r="AP51" s="6">
        <v>49.36</v>
      </c>
      <c r="AQ51" s="6">
        <v>38.28</v>
      </c>
      <c r="AR51" s="6">
        <v>39.47</v>
      </c>
      <c r="AS51" s="6">
        <v>49.03</v>
      </c>
      <c r="AT51" s="6">
        <v>38.64</v>
      </c>
      <c r="AU51" s="6">
        <v>36.61</v>
      </c>
      <c r="AV51" s="6">
        <v>43.04</v>
      </c>
      <c r="AW51" s="6">
        <v>46.12</v>
      </c>
      <c r="AX51" s="6">
        <v>43.94</v>
      </c>
      <c r="AY51" s="6">
        <v>41.12</v>
      </c>
      <c r="AZ51" s="6">
        <v>38.35</v>
      </c>
      <c r="BA51" s="6">
        <v>49.04</v>
      </c>
      <c r="BB51" s="6">
        <v>39.15</v>
      </c>
      <c r="BC51" s="6">
        <v>36.08</v>
      </c>
      <c r="BD51" s="6">
        <v>46.28</v>
      </c>
      <c r="BE51" s="6">
        <v>36.369999999999997</v>
      </c>
      <c r="BF51" s="6">
        <v>36.24</v>
      </c>
      <c r="BG51" s="6">
        <v>41.63</v>
      </c>
      <c r="BH51" s="6">
        <v>45.14</v>
      </c>
      <c r="BI51" s="6">
        <v>43.25</v>
      </c>
      <c r="BJ51" s="6">
        <v>39.74</v>
      </c>
      <c r="BK51" s="6">
        <v>38.64</v>
      </c>
      <c r="BL51" s="6">
        <v>48.25</v>
      </c>
      <c r="BM51" s="6">
        <v>38.31</v>
      </c>
      <c r="BN51" s="6">
        <v>35.29</v>
      </c>
      <c r="BO51" s="6">
        <v>48.6</v>
      </c>
      <c r="BP51">
        <f t="shared" si="0"/>
        <v>41.699292929292952</v>
      </c>
      <c r="BQ51" s="12">
        <v>0.55555555555555558</v>
      </c>
    </row>
    <row r="52" spans="1:69" ht="17.5" thickBot="1" x14ac:dyDescent="0.5">
      <c r="A52" s="5">
        <v>51</v>
      </c>
      <c r="B52" s="6">
        <v>38.22</v>
      </c>
      <c r="C52" s="6">
        <v>35.94</v>
      </c>
      <c r="D52" s="6">
        <v>44.27</v>
      </c>
      <c r="E52" s="6">
        <v>46.41</v>
      </c>
      <c r="F52" s="6">
        <v>43</v>
      </c>
      <c r="G52" s="6">
        <v>40.229999999999997</v>
      </c>
      <c r="H52" s="6">
        <v>37.14</v>
      </c>
      <c r="I52" s="6">
        <v>49.1</v>
      </c>
      <c r="J52" s="6">
        <v>37</v>
      </c>
      <c r="K52" s="6">
        <v>35.29</v>
      </c>
      <c r="L52" s="6">
        <v>49.48</v>
      </c>
      <c r="M52" s="6">
        <v>38.07</v>
      </c>
      <c r="N52" s="6">
        <v>35.76</v>
      </c>
      <c r="O52" s="6">
        <v>44.29</v>
      </c>
      <c r="P52" s="6">
        <v>46.29</v>
      </c>
      <c r="Q52" s="6">
        <v>46.37</v>
      </c>
      <c r="R52" s="6">
        <v>41.38</v>
      </c>
      <c r="S52" s="6">
        <v>38.17</v>
      </c>
      <c r="T52" s="6">
        <v>47.93</v>
      </c>
      <c r="U52" s="6">
        <v>38.71</v>
      </c>
      <c r="V52" s="6">
        <v>38.619999999999997</v>
      </c>
      <c r="W52" s="6">
        <v>48.53</v>
      </c>
      <c r="X52" s="6">
        <v>40.020000000000003</v>
      </c>
      <c r="Y52" s="6">
        <v>35.93</v>
      </c>
      <c r="Z52" s="6">
        <v>45.18</v>
      </c>
      <c r="AA52" s="6">
        <v>46.21</v>
      </c>
      <c r="AB52" s="6">
        <v>45.38</v>
      </c>
      <c r="AC52" s="6">
        <v>38.380000000000003</v>
      </c>
      <c r="AD52" s="6">
        <v>40.44</v>
      </c>
      <c r="AE52" s="6">
        <v>49.36</v>
      </c>
      <c r="AF52" s="6">
        <v>38.28</v>
      </c>
      <c r="AG52" s="6">
        <v>39.47</v>
      </c>
      <c r="AH52" s="6">
        <v>49.03</v>
      </c>
      <c r="AI52" s="6">
        <v>38.64</v>
      </c>
      <c r="AJ52" s="6">
        <v>36.61</v>
      </c>
      <c r="AK52" s="6">
        <v>43.04</v>
      </c>
      <c r="AL52" s="6">
        <v>46.12</v>
      </c>
      <c r="AM52" s="6">
        <v>43.94</v>
      </c>
      <c r="AN52" s="6">
        <v>41.12</v>
      </c>
      <c r="AO52" s="6">
        <v>38.35</v>
      </c>
      <c r="AP52" s="6">
        <v>49.04</v>
      </c>
      <c r="AQ52" s="6">
        <v>39.15</v>
      </c>
      <c r="AR52" s="6">
        <v>36.08</v>
      </c>
      <c r="AS52" s="6">
        <v>46.28</v>
      </c>
      <c r="AT52" s="6">
        <v>36.369999999999997</v>
      </c>
      <c r="AU52" s="6">
        <v>36.24</v>
      </c>
      <c r="AV52" s="6">
        <v>41.63</v>
      </c>
      <c r="AW52" s="6">
        <v>45.14</v>
      </c>
      <c r="AX52" s="6">
        <v>43.25</v>
      </c>
      <c r="AY52" s="6">
        <v>39.74</v>
      </c>
      <c r="AZ52" s="6">
        <v>38.64</v>
      </c>
      <c r="BA52" s="6">
        <v>48.25</v>
      </c>
      <c r="BB52" s="6">
        <v>38.31</v>
      </c>
      <c r="BC52" s="6">
        <v>35.29</v>
      </c>
      <c r="BD52" s="6">
        <v>48.6</v>
      </c>
      <c r="BE52" s="6">
        <v>38.93</v>
      </c>
      <c r="BF52" s="6">
        <v>36.049999999999997</v>
      </c>
      <c r="BG52" s="6">
        <v>44.79</v>
      </c>
      <c r="BH52" s="6">
        <v>45.57</v>
      </c>
      <c r="BI52" s="6">
        <v>44.62</v>
      </c>
      <c r="BJ52" s="6">
        <v>41.93</v>
      </c>
      <c r="BK52" s="6">
        <v>39.35</v>
      </c>
      <c r="BL52" s="6">
        <v>47.18</v>
      </c>
      <c r="BM52" s="6">
        <v>37.409999999999997</v>
      </c>
      <c r="BN52" s="6">
        <v>37.07</v>
      </c>
      <c r="BO52" s="6">
        <v>46.81</v>
      </c>
      <c r="BP52">
        <f t="shared" si="0"/>
        <v>41.714621212121251</v>
      </c>
      <c r="BQ52" s="12">
        <v>0.5625</v>
      </c>
    </row>
    <row r="53" spans="1:69" ht="17.5" thickBot="1" x14ac:dyDescent="0.5">
      <c r="A53" s="5">
        <v>52</v>
      </c>
      <c r="B53" s="6">
        <v>38.07</v>
      </c>
      <c r="C53" s="6">
        <v>35.76</v>
      </c>
      <c r="D53" s="6">
        <v>44.29</v>
      </c>
      <c r="E53" s="6">
        <v>46.29</v>
      </c>
      <c r="F53" s="6">
        <v>46.37</v>
      </c>
      <c r="G53" s="6">
        <v>41.38</v>
      </c>
      <c r="H53" s="6">
        <v>38.17</v>
      </c>
      <c r="I53" s="6">
        <v>47.93</v>
      </c>
      <c r="J53" s="6">
        <v>38.71</v>
      </c>
      <c r="K53" s="6">
        <v>38.619999999999997</v>
      </c>
      <c r="L53" s="6">
        <v>48.53</v>
      </c>
      <c r="M53" s="6">
        <v>40.020000000000003</v>
      </c>
      <c r="N53" s="6">
        <v>35.93</v>
      </c>
      <c r="O53" s="6">
        <v>45.18</v>
      </c>
      <c r="P53" s="6">
        <v>46.21</v>
      </c>
      <c r="Q53" s="6">
        <v>45.38</v>
      </c>
      <c r="R53" s="6">
        <v>38.380000000000003</v>
      </c>
      <c r="S53" s="6">
        <v>40.44</v>
      </c>
      <c r="T53" s="6">
        <v>49.36</v>
      </c>
      <c r="U53" s="6">
        <v>38.28</v>
      </c>
      <c r="V53" s="6">
        <v>39.47</v>
      </c>
      <c r="W53" s="6">
        <v>49.03</v>
      </c>
      <c r="X53" s="6">
        <v>38.64</v>
      </c>
      <c r="Y53" s="6">
        <v>36.61</v>
      </c>
      <c r="Z53" s="6">
        <v>43.04</v>
      </c>
      <c r="AA53" s="6">
        <v>46.12</v>
      </c>
      <c r="AB53" s="6">
        <v>43.94</v>
      </c>
      <c r="AC53" s="6">
        <v>41.12</v>
      </c>
      <c r="AD53" s="6">
        <v>38.35</v>
      </c>
      <c r="AE53" s="6">
        <v>49.04</v>
      </c>
      <c r="AF53" s="6">
        <v>39.15</v>
      </c>
      <c r="AG53" s="6">
        <v>36.08</v>
      </c>
      <c r="AH53" s="6">
        <v>46.28</v>
      </c>
      <c r="AI53" s="6">
        <v>36.369999999999997</v>
      </c>
      <c r="AJ53" s="6">
        <v>36.24</v>
      </c>
      <c r="AK53" s="6">
        <v>41.63</v>
      </c>
      <c r="AL53" s="6">
        <v>45.14</v>
      </c>
      <c r="AM53" s="6">
        <v>43.25</v>
      </c>
      <c r="AN53" s="6">
        <v>39.74</v>
      </c>
      <c r="AO53" s="6">
        <v>38.64</v>
      </c>
      <c r="AP53" s="6">
        <v>48.25</v>
      </c>
      <c r="AQ53" s="6">
        <v>38.31</v>
      </c>
      <c r="AR53" s="6">
        <v>35.29</v>
      </c>
      <c r="AS53" s="6">
        <v>48.6</v>
      </c>
      <c r="AT53" s="6">
        <v>38.93</v>
      </c>
      <c r="AU53" s="6">
        <v>36.049999999999997</v>
      </c>
      <c r="AV53" s="6">
        <v>44.79</v>
      </c>
      <c r="AW53" s="6">
        <v>45.57</v>
      </c>
      <c r="AX53" s="6">
        <v>44.62</v>
      </c>
      <c r="AY53" s="6">
        <v>41.93</v>
      </c>
      <c r="AZ53" s="6">
        <v>39.35</v>
      </c>
      <c r="BA53" s="6">
        <v>47.18</v>
      </c>
      <c r="BB53" s="6">
        <v>37.409999999999997</v>
      </c>
      <c r="BC53" s="6">
        <v>37.07</v>
      </c>
      <c r="BD53" s="6">
        <v>46.81</v>
      </c>
      <c r="BE53" s="6">
        <v>39.65</v>
      </c>
      <c r="BF53" s="6">
        <v>35.770000000000003</v>
      </c>
      <c r="BG53" s="6">
        <v>42.56</v>
      </c>
      <c r="BH53" s="6">
        <v>45.94</v>
      </c>
      <c r="BI53" s="6">
        <v>43.37</v>
      </c>
      <c r="BJ53" s="6">
        <v>40.159999999999997</v>
      </c>
      <c r="BK53" s="6">
        <v>39.78</v>
      </c>
      <c r="BL53" s="6">
        <v>49.14</v>
      </c>
      <c r="BM53" s="6">
        <v>35.39</v>
      </c>
      <c r="BN53" s="6">
        <v>35.479999999999997</v>
      </c>
      <c r="BO53" s="6">
        <v>47.11</v>
      </c>
      <c r="BP53">
        <f t="shared" si="0"/>
        <v>41.749823232323287</v>
      </c>
      <c r="BQ53" s="12">
        <v>0.56944444444444442</v>
      </c>
    </row>
    <row r="54" spans="1:69" ht="17.5" thickBot="1" x14ac:dyDescent="0.5">
      <c r="A54" s="5">
        <v>53</v>
      </c>
      <c r="B54" s="6">
        <v>40.020000000000003</v>
      </c>
      <c r="C54" s="6">
        <v>35.93</v>
      </c>
      <c r="D54" s="6">
        <v>45.18</v>
      </c>
      <c r="E54" s="6">
        <v>46.21</v>
      </c>
      <c r="F54" s="6">
        <v>45.38</v>
      </c>
      <c r="G54" s="6">
        <v>38.380000000000003</v>
      </c>
      <c r="H54" s="6">
        <v>40.44</v>
      </c>
      <c r="I54" s="6">
        <v>49.36</v>
      </c>
      <c r="J54" s="6">
        <v>38.28</v>
      </c>
      <c r="K54" s="6">
        <v>39.47</v>
      </c>
      <c r="L54" s="6">
        <v>49.03</v>
      </c>
      <c r="M54" s="6">
        <v>38.64</v>
      </c>
      <c r="N54" s="6">
        <v>36.61</v>
      </c>
      <c r="O54" s="6">
        <v>43.04</v>
      </c>
      <c r="P54" s="6">
        <v>46.12</v>
      </c>
      <c r="Q54" s="6">
        <v>43.94</v>
      </c>
      <c r="R54" s="6">
        <v>41.12</v>
      </c>
      <c r="S54" s="6">
        <v>38.35</v>
      </c>
      <c r="T54" s="6">
        <v>49.04</v>
      </c>
      <c r="U54" s="6">
        <v>39.15</v>
      </c>
      <c r="V54" s="6">
        <v>36.08</v>
      </c>
      <c r="W54" s="6">
        <v>46.28</v>
      </c>
      <c r="X54" s="6">
        <v>36.369999999999997</v>
      </c>
      <c r="Y54" s="6">
        <v>36.24</v>
      </c>
      <c r="Z54" s="6">
        <v>41.63</v>
      </c>
      <c r="AA54" s="6">
        <v>45.14</v>
      </c>
      <c r="AB54" s="6">
        <v>43.25</v>
      </c>
      <c r="AC54" s="6">
        <v>39.74</v>
      </c>
      <c r="AD54" s="6">
        <v>38.64</v>
      </c>
      <c r="AE54" s="6">
        <v>48.25</v>
      </c>
      <c r="AF54" s="6">
        <v>38.31</v>
      </c>
      <c r="AG54" s="6">
        <v>35.29</v>
      </c>
      <c r="AH54" s="6">
        <v>48.6</v>
      </c>
      <c r="AI54" s="6">
        <v>38.93</v>
      </c>
      <c r="AJ54" s="6">
        <v>36.049999999999997</v>
      </c>
      <c r="AK54" s="6">
        <v>44.79</v>
      </c>
      <c r="AL54" s="6">
        <v>45.57</v>
      </c>
      <c r="AM54" s="6">
        <v>44.62</v>
      </c>
      <c r="AN54" s="6">
        <v>41.93</v>
      </c>
      <c r="AO54" s="6">
        <v>39.35</v>
      </c>
      <c r="AP54" s="6">
        <v>47.18</v>
      </c>
      <c r="AQ54" s="6">
        <v>37.409999999999997</v>
      </c>
      <c r="AR54" s="6">
        <v>37.07</v>
      </c>
      <c r="AS54" s="6">
        <v>46.81</v>
      </c>
      <c r="AT54" s="6">
        <v>39.65</v>
      </c>
      <c r="AU54" s="6">
        <v>35.770000000000003</v>
      </c>
      <c r="AV54" s="6">
        <v>42.56</v>
      </c>
      <c r="AW54" s="6">
        <v>45.94</v>
      </c>
      <c r="AX54" s="6">
        <v>43.37</v>
      </c>
      <c r="AY54" s="6">
        <v>40.159999999999997</v>
      </c>
      <c r="AZ54" s="6">
        <v>39.78</v>
      </c>
      <c r="BA54" s="6">
        <v>49.14</v>
      </c>
      <c r="BB54" s="6">
        <v>35.39</v>
      </c>
      <c r="BC54" s="6">
        <v>35.479999999999997</v>
      </c>
      <c r="BD54" s="6">
        <v>47.11</v>
      </c>
      <c r="BE54" s="6">
        <v>38.42</v>
      </c>
      <c r="BF54" s="6">
        <v>36.520000000000003</v>
      </c>
      <c r="BG54" s="6">
        <v>43.83</v>
      </c>
      <c r="BH54" s="6">
        <v>46.44</v>
      </c>
      <c r="BI54" s="6">
        <v>45.83</v>
      </c>
      <c r="BJ54" s="6">
        <v>40.229999999999997</v>
      </c>
      <c r="BK54" s="6">
        <v>39.22</v>
      </c>
      <c r="BL54" s="6">
        <v>48.55</v>
      </c>
      <c r="BM54" s="6">
        <v>38.83</v>
      </c>
      <c r="BN54" s="6">
        <v>38.450000000000003</v>
      </c>
      <c r="BO54" s="6">
        <v>48.38</v>
      </c>
      <c r="BP54">
        <f t="shared" si="0"/>
        <v>41.777550505050563</v>
      </c>
      <c r="BQ54" s="12">
        <v>0.57638888888888895</v>
      </c>
    </row>
    <row r="55" spans="1:69" ht="17.5" thickBot="1" x14ac:dyDescent="0.5">
      <c r="A55" s="5">
        <v>54</v>
      </c>
      <c r="B55" s="6">
        <v>38.64</v>
      </c>
      <c r="C55" s="6">
        <v>36.61</v>
      </c>
      <c r="D55" s="6">
        <v>43.04</v>
      </c>
      <c r="E55" s="6">
        <v>46.12</v>
      </c>
      <c r="F55" s="6">
        <v>43.94</v>
      </c>
      <c r="G55" s="6">
        <v>41.12</v>
      </c>
      <c r="H55" s="6">
        <v>38.35</v>
      </c>
      <c r="I55" s="6">
        <v>49.04</v>
      </c>
      <c r="J55" s="6">
        <v>39.15</v>
      </c>
      <c r="K55" s="6">
        <v>36.08</v>
      </c>
      <c r="L55" s="6">
        <v>46.28</v>
      </c>
      <c r="M55" s="6">
        <v>36.369999999999997</v>
      </c>
      <c r="N55" s="6">
        <v>36.24</v>
      </c>
      <c r="O55" s="6">
        <v>41.63</v>
      </c>
      <c r="P55" s="6">
        <v>45.14</v>
      </c>
      <c r="Q55" s="6">
        <v>43.25</v>
      </c>
      <c r="R55" s="6">
        <v>39.74</v>
      </c>
      <c r="S55" s="6">
        <v>38.64</v>
      </c>
      <c r="T55" s="6">
        <v>48.25</v>
      </c>
      <c r="U55" s="6">
        <v>38.31</v>
      </c>
      <c r="V55" s="6">
        <v>35.29</v>
      </c>
      <c r="W55" s="6">
        <v>48.6</v>
      </c>
      <c r="X55" s="6">
        <v>38.93</v>
      </c>
      <c r="Y55" s="6">
        <v>36.049999999999997</v>
      </c>
      <c r="Z55" s="6">
        <v>44.79</v>
      </c>
      <c r="AA55" s="6">
        <v>45.57</v>
      </c>
      <c r="AB55" s="6">
        <v>44.62</v>
      </c>
      <c r="AC55" s="6">
        <v>41.93</v>
      </c>
      <c r="AD55" s="6">
        <v>39.35</v>
      </c>
      <c r="AE55" s="6">
        <v>47.18</v>
      </c>
      <c r="AF55" s="6">
        <v>37.409999999999997</v>
      </c>
      <c r="AG55" s="6">
        <v>37.07</v>
      </c>
      <c r="AH55" s="6">
        <v>46.81</v>
      </c>
      <c r="AI55" s="6">
        <v>39.65</v>
      </c>
      <c r="AJ55" s="6">
        <v>35.770000000000003</v>
      </c>
      <c r="AK55" s="6">
        <v>42.56</v>
      </c>
      <c r="AL55" s="6">
        <v>45.94</v>
      </c>
      <c r="AM55" s="6">
        <v>43.37</v>
      </c>
      <c r="AN55" s="6">
        <v>40.159999999999997</v>
      </c>
      <c r="AO55" s="6">
        <v>39.78</v>
      </c>
      <c r="AP55" s="6">
        <v>49.14</v>
      </c>
      <c r="AQ55" s="6">
        <v>35.39</v>
      </c>
      <c r="AR55" s="6">
        <v>35.479999999999997</v>
      </c>
      <c r="AS55" s="6">
        <v>47.11</v>
      </c>
      <c r="AT55" s="6">
        <v>38.42</v>
      </c>
      <c r="AU55" s="6">
        <v>36.520000000000003</v>
      </c>
      <c r="AV55" s="6">
        <v>43.83</v>
      </c>
      <c r="AW55" s="6">
        <v>46.44</v>
      </c>
      <c r="AX55" s="6">
        <v>45.83</v>
      </c>
      <c r="AY55" s="6">
        <v>40.229999999999997</v>
      </c>
      <c r="AZ55" s="6">
        <v>39.22</v>
      </c>
      <c r="BA55" s="6">
        <v>48.55</v>
      </c>
      <c r="BB55" s="6">
        <v>38.83</v>
      </c>
      <c r="BC55" s="6">
        <v>38.450000000000003</v>
      </c>
      <c r="BD55" s="6">
        <v>48.38</v>
      </c>
      <c r="BE55" s="6">
        <v>39.299999999999997</v>
      </c>
      <c r="BF55" s="6">
        <v>35.85</v>
      </c>
      <c r="BG55" s="6">
        <v>43.05</v>
      </c>
      <c r="BH55" s="6">
        <v>45.58</v>
      </c>
      <c r="BI55" s="6">
        <v>43.91</v>
      </c>
      <c r="BJ55" s="6">
        <v>39.28</v>
      </c>
      <c r="BK55" s="6">
        <v>39.270000000000003</v>
      </c>
      <c r="BL55" s="6">
        <v>49.6</v>
      </c>
      <c r="BM55" s="6">
        <v>36.69</v>
      </c>
      <c r="BN55" s="6">
        <v>35.380000000000003</v>
      </c>
      <c r="BO55" s="6">
        <v>47.24</v>
      </c>
      <c r="BP55">
        <f t="shared" si="0"/>
        <v>41.735580808080847</v>
      </c>
      <c r="BQ55" s="12">
        <v>0.58333333333333337</v>
      </c>
    </row>
    <row r="56" spans="1:69" ht="17.5" thickBot="1" x14ac:dyDescent="0.5">
      <c r="A56" s="5">
        <v>55</v>
      </c>
      <c r="B56" s="6">
        <v>36.369999999999997</v>
      </c>
      <c r="C56" s="6">
        <v>36.24</v>
      </c>
      <c r="D56" s="6">
        <v>41.63</v>
      </c>
      <c r="E56" s="6">
        <v>45.14</v>
      </c>
      <c r="F56" s="6">
        <v>43.25</v>
      </c>
      <c r="G56" s="6">
        <v>39.74</v>
      </c>
      <c r="H56" s="6">
        <v>38.64</v>
      </c>
      <c r="I56" s="6">
        <v>48.25</v>
      </c>
      <c r="J56" s="6">
        <v>38.31</v>
      </c>
      <c r="K56" s="6">
        <v>35.29</v>
      </c>
      <c r="L56" s="6">
        <v>48.6</v>
      </c>
      <c r="M56" s="6">
        <v>38.93</v>
      </c>
      <c r="N56" s="6">
        <v>36.049999999999997</v>
      </c>
      <c r="O56" s="6">
        <v>44.79</v>
      </c>
      <c r="P56" s="6">
        <v>45.57</v>
      </c>
      <c r="Q56" s="6">
        <v>44.62</v>
      </c>
      <c r="R56" s="6">
        <v>41.93</v>
      </c>
      <c r="S56" s="6">
        <v>39.35</v>
      </c>
      <c r="T56" s="6">
        <v>47.18</v>
      </c>
      <c r="U56" s="6">
        <v>37.409999999999997</v>
      </c>
      <c r="V56" s="6">
        <v>37.07</v>
      </c>
      <c r="W56" s="6">
        <v>46.81</v>
      </c>
      <c r="X56" s="6">
        <v>39.65</v>
      </c>
      <c r="Y56" s="6">
        <v>35.770000000000003</v>
      </c>
      <c r="Z56" s="6">
        <v>42.56</v>
      </c>
      <c r="AA56" s="6">
        <v>45.94</v>
      </c>
      <c r="AB56" s="6">
        <v>43.37</v>
      </c>
      <c r="AC56" s="6">
        <v>40.159999999999997</v>
      </c>
      <c r="AD56" s="6">
        <v>39.78</v>
      </c>
      <c r="AE56" s="6">
        <v>49.14</v>
      </c>
      <c r="AF56" s="6">
        <v>35.39</v>
      </c>
      <c r="AG56" s="6">
        <v>35.479999999999997</v>
      </c>
      <c r="AH56" s="6">
        <v>47.11</v>
      </c>
      <c r="AI56" s="6">
        <v>38.42</v>
      </c>
      <c r="AJ56" s="6">
        <v>36.520000000000003</v>
      </c>
      <c r="AK56" s="6">
        <v>43.83</v>
      </c>
      <c r="AL56" s="6">
        <v>46.44</v>
      </c>
      <c r="AM56" s="6">
        <v>45.83</v>
      </c>
      <c r="AN56" s="6">
        <v>40.229999999999997</v>
      </c>
      <c r="AO56" s="6">
        <v>39.22</v>
      </c>
      <c r="AP56" s="6">
        <v>48.55</v>
      </c>
      <c r="AQ56" s="6">
        <v>38.83</v>
      </c>
      <c r="AR56" s="6">
        <v>38.450000000000003</v>
      </c>
      <c r="AS56" s="6">
        <v>48.38</v>
      </c>
      <c r="AT56" s="6">
        <v>39.299999999999997</v>
      </c>
      <c r="AU56" s="6">
        <v>35.85</v>
      </c>
      <c r="AV56" s="6">
        <v>43.05</v>
      </c>
      <c r="AW56" s="6">
        <v>45.58</v>
      </c>
      <c r="AX56" s="6">
        <v>43.91</v>
      </c>
      <c r="AY56" s="6">
        <v>39.28</v>
      </c>
      <c r="AZ56" s="6">
        <v>39.270000000000003</v>
      </c>
      <c r="BA56" s="6">
        <v>49.6</v>
      </c>
      <c r="BB56" s="6">
        <v>36.69</v>
      </c>
      <c r="BC56" s="6">
        <v>35.380000000000003</v>
      </c>
      <c r="BD56" s="6">
        <v>47.24</v>
      </c>
      <c r="BE56" s="6">
        <v>37.549999999999997</v>
      </c>
      <c r="BF56" s="6">
        <v>36.71</v>
      </c>
      <c r="BG56" s="6">
        <v>43.55</v>
      </c>
      <c r="BH56" s="6">
        <v>47.93</v>
      </c>
      <c r="BI56" s="6">
        <v>43.79</v>
      </c>
      <c r="BJ56" s="6">
        <v>42.77</v>
      </c>
      <c r="BK56" s="6">
        <v>39.57</v>
      </c>
      <c r="BL56" s="6">
        <v>49.55</v>
      </c>
      <c r="BM56" s="6">
        <v>39.71</v>
      </c>
      <c r="BN56" s="6">
        <v>37.909999999999997</v>
      </c>
      <c r="BO56" s="6">
        <v>48.73</v>
      </c>
      <c r="BP56">
        <f t="shared" si="0"/>
        <v>41.717121212121228</v>
      </c>
      <c r="BQ56" s="12">
        <v>0.59027777777777779</v>
      </c>
    </row>
    <row r="57" spans="1:69" ht="17.5" thickBot="1" x14ac:dyDescent="0.5">
      <c r="A57" s="5">
        <v>56</v>
      </c>
      <c r="B57" s="6">
        <v>38.93</v>
      </c>
      <c r="C57" s="6">
        <v>36.049999999999997</v>
      </c>
      <c r="D57" s="6">
        <v>44.79</v>
      </c>
      <c r="E57" s="6">
        <v>45.57</v>
      </c>
      <c r="F57" s="6">
        <v>44.62</v>
      </c>
      <c r="G57" s="6">
        <v>41.93</v>
      </c>
      <c r="H57" s="6">
        <v>39.35</v>
      </c>
      <c r="I57" s="6">
        <v>47.18</v>
      </c>
      <c r="J57" s="6">
        <v>37.409999999999997</v>
      </c>
      <c r="K57" s="6">
        <v>37.07</v>
      </c>
      <c r="L57" s="6">
        <v>46.81</v>
      </c>
      <c r="M57" s="6">
        <v>39.65</v>
      </c>
      <c r="N57" s="6">
        <v>35.770000000000003</v>
      </c>
      <c r="O57" s="6">
        <v>42.56</v>
      </c>
      <c r="P57" s="6">
        <v>45.94</v>
      </c>
      <c r="Q57" s="6">
        <v>43.37</v>
      </c>
      <c r="R57" s="6">
        <v>40.159999999999997</v>
      </c>
      <c r="S57" s="6">
        <v>39.78</v>
      </c>
      <c r="T57" s="6">
        <v>49.14</v>
      </c>
      <c r="U57" s="6">
        <v>35.39</v>
      </c>
      <c r="V57" s="6">
        <v>35.479999999999997</v>
      </c>
      <c r="W57" s="6">
        <v>47.11</v>
      </c>
      <c r="X57" s="6">
        <v>38.42</v>
      </c>
      <c r="Y57" s="6">
        <v>36.520000000000003</v>
      </c>
      <c r="Z57" s="6">
        <v>43.83</v>
      </c>
      <c r="AA57" s="6">
        <v>46.44</v>
      </c>
      <c r="AB57" s="6">
        <v>45.83</v>
      </c>
      <c r="AC57" s="6">
        <v>40.229999999999997</v>
      </c>
      <c r="AD57" s="6">
        <v>39.22</v>
      </c>
      <c r="AE57" s="6">
        <v>48.55</v>
      </c>
      <c r="AF57" s="6">
        <v>38.83</v>
      </c>
      <c r="AG57" s="6">
        <v>38.450000000000003</v>
      </c>
      <c r="AH57" s="6">
        <v>48.38</v>
      </c>
      <c r="AI57" s="6">
        <v>39.299999999999997</v>
      </c>
      <c r="AJ57" s="6">
        <v>35.85</v>
      </c>
      <c r="AK57" s="6">
        <v>43.05</v>
      </c>
      <c r="AL57" s="6">
        <v>45.58</v>
      </c>
      <c r="AM57" s="6">
        <v>43.91</v>
      </c>
      <c r="AN57" s="6">
        <v>39.28</v>
      </c>
      <c r="AO57" s="6">
        <v>39.270000000000003</v>
      </c>
      <c r="AP57" s="6">
        <v>49.6</v>
      </c>
      <c r="AQ57" s="6">
        <v>36.69</v>
      </c>
      <c r="AR57" s="6">
        <v>35.380000000000003</v>
      </c>
      <c r="AS57" s="6">
        <v>47.24</v>
      </c>
      <c r="AT57" s="6">
        <v>37.549999999999997</v>
      </c>
      <c r="AU57" s="6">
        <v>36.71</v>
      </c>
      <c r="AV57" s="6">
        <v>43.55</v>
      </c>
      <c r="AW57" s="6">
        <v>47.93</v>
      </c>
      <c r="AX57" s="6">
        <v>43.79</v>
      </c>
      <c r="AY57" s="6">
        <v>42.77</v>
      </c>
      <c r="AZ57" s="6">
        <v>39.57</v>
      </c>
      <c r="BA57" s="6">
        <v>49.55</v>
      </c>
      <c r="BB57" s="6">
        <v>39.71</v>
      </c>
      <c r="BC57" s="6">
        <v>37.909999999999997</v>
      </c>
      <c r="BD57" s="6">
        <v>48.73</v>
      </c>
      <c r="BE57" s="6">
        <v>40.28</v>
      </c>
      <c r="BF57" s="6">
        <v>36.22</v>
      </c>
      <c r="BG57" s="6">
        <v>44.84</v>
      </c>
      <c r="BH57" s="6">
        <v>45.89</v>
      </c>
      <c r="BI57" s="6">
        <v>45.35</v>
      </c>
      <c r="BJ57" s="6">
        <v>41.27</v>
      </c>
      <c r="BK57" s="6">
        <v>40.200000000000003</v>
      </c>
      <c r="BL57" s="6">
        <v>48.76</v>
      </c>
      <c r="BM57" s="6">
        <v>38.72</v>
      </c>
      <c r="BN57" s="6">
        <v>36.99</v>
      </c>
      <c r="BO57" s="6">
        <v>47.04</v>
      </c>
      <c r="BP57">
        <f t="shared" si="0"/>
        <v>41.751262626262623</v>
      </c>
      <c r="BQ57" s="12">
        <v>0.59722222222222221</v>
      </c>
    </row>
    <row r="58" spans="1:69" ht="17.5" thickBot="1" x14ac:dyDescent="0.5">
      <c r="A58" s="5">
        <v>57</v>
      </c>
      <c r="B58" s="6">
        <v>39.65</v>
      </c>
      <c r="C58" s="6">
        <v>35.770000000000003</v>
      </c>
      <c r="D58" s="6">
        <v>42.56</v>
      </c>
      <c r="E58" s="6">
        <v>45.94</v>
      </c>
      <c r="F58" s="6">
        <v>43.37</v>
      </c>
      <c r="G58" s="6">
        <v>40.159999999999997</v>
      </c>
      <c r="H58" s="6">
        <v>39.78</v>
      </c>
      <c r="I58" s="6">
        <v>49.14</v>
      </c>
      <c r="J58" s="6">
        <v>35.39</v>
      </c>
      <c r="K58" s="6">
        <v>35.479999999999997</v>
      </c>
      <c r="L58" s="6">
        <v>47.11</v>
      </c>
      <c r="M58" s="6">
        <v>38.42</v>
      </c>
      <c r="N58" s="6">
        <v>36.520000000000003</v>
      </c>
      <c r="O58" s="6">
        <v>43.83</v>
      </c>
      <c r="P58" s="6">
        <v>46.44</v>
      </c>
      <c r="Q58" s="6">
        <v>45.83</v>
      </c>
      <c r="R58" s="6">
        <v>40.229999999999997</v>
      </c>
      <c r="S58" s="6">
        <v>39.22</v>
      </c>
      <c r="T58" s="6">
        <v>48.55</v>
      </c>
      <c r="U58" s="6">
        <v>38.83</v>
      </c>
      <c r="V58" s="6">
        <v>38.450000000000003</v>
      </c>
      <c r="W58" s="6">
        <v>48.38</v>
      </c>
      <c r="X58" s="6">
        <v>39.299999999999997</v>
      </c>
      <c r="Y58" s="6">
        <v>35.85</v>
      </c>
      <c r="Z58" s="6">
        <v>43.05</v>
      </c>
      <c r="AA58" s="6">
        <v>45.58</v>
      </c>
      <c r="AB58" s="6">
        <v>43.91</v>
      </c>
      <c r="AC58" s="6">
        <v>39.28</v>
      </c>
      <c r="AD58" s="6">
        <v>39.270000000000003</v>
      </c>
      <c r="AE58" s="6">
        <v>49.6</v>
      </c>
      <c r="AF58" s="6">
        <v>36.69</v>
      </c>
      <c r="AG58" s="6">
        <v>35.380000000000003</v>
      </c>
      <c r="AH58" s="6">
        <v>47.24</v>
      </c>
      <c r="AI58" s="6">
        <v>37.549999999999997</v>
      </c>
      <c r="AJ58" s="6">
        <v>36.71</v>
      </c>
      <c r="AK58" s="6">
        <v>43.55</v>
      </c>
      <c r="AL58" s="6">
        <v>47.93</v>
      </c>
      <c r="AM58" s="6">
        <v>43.79</v>
      </c>
      <c r="AN58" s="6">
        <v>42.77</v>
      </c>
      <c r="AO58" s="6">
        <v>39.57</v>
      </c>
      <c r="AP58" s="6">
        <v>49.55</v>
      </c>
      <c r="AQ58" s="6">
        <v>39.71</v>
      </c>
      <c r="AR58" s="6">
        <v>37.909999999999997</v>
      </c>
      <c r="AS58" s="6">
        <v>48.73</v>
      </c>
      <c r="AT58" s="6">
        <v>40.28</v>
      </c>
      <c r="AU58" s="6">
        <v>36.22</v>
      </c>
      <c r="AV58" s="6">
        <v>44.84</v>
      </c>
      <c r="AW58" s="6">
        <v>45.89</v>
      </c>
      <c r="AX58" s="6">
        <v>45.35</v>
      </c>
      <c r="AY58" s="6">
        <v>41.27</v>
      </c>
      <c r="AZ58" s="6">
        <v>40.200000000000003</v>
      </c>
      <c r="BA58" s="6">
        <v>48.76</v>
      </c>
      <c r="BB58" s="6">
        <v>38.72</v>
      </c>
      <c r="BC58" s="6">
        <v>36.99</v>
      </c>
      <c r="BD58" s="6">
        <v>47.04</v>
      </c>
      <c r="BE58" s="6">
        <v>39.31</v>
      </c>
      <c r="BF58" s="6">
        <v>35.31</v>
      </c>
      <c r="BG58" s="6">
        <v>44.57</v>
      </c>
      <c r="BH58" s="6">
        <v>46.53</v>
      </c>
      <c r="BI58" s="6">
        <v>44.79</v>
      </c>
      <c r="BJ58" s="6">
        <v>40.64</v>
      </c>
      <c r="BK58" s="6">
        <v>38.11</v>
      </c>
      <c r="BL58" s="6">
        <v>47.77</v>
      </c>
      <c r="BM58" s="6">
        <v>38.56</v>
      </c>
      <c r="BN58" s="6">
        <v>37.6</v>
      </c>
      <c r="BO58" s="6">
        <v>47.56</v>
      </c>
      <c r="BP58">
        <f t="shared" si="0"/>
        <v>41.77868686868684</v>
      </c>
      <c r="BQ58" s="12">
        <v>0.60416666666666663</v>
      </c>
    </row>
    <row r="59" spans="1:69" ht="17.5" thickBot="1" x14ac:dyDescent="0.5">
      <c r="A59" s="5">
        <v>58</v>
      </c>
      <c r="B59" s="6">
        <v>38.42</v>
      </c>
      <c r="C59" s="6">
        <v>36.520000000000003</v>
      </c>
      <c r="D59" s="6">
        <v>43.83</v>
      </c>
      <c r="E59" s="6">
        <v>46.44</v>
      </c>
      <c r="F59" s="6">
        <v>45.83</v>
      </c>
      <c r="G59" s="6">
        <v>40.229999999999997</v>
      </c>
      <c r="H59" s="6">
        <v>39.22</v>
      </c>
      <c r="I59" s="6">
        <v>48.55</v>
      </c>
      <c r="J59" s="6">
        <v>38.83</v>
      </c>
      <c r="K59" s="6">
        <v>38.450000000000003</v>
      </c>
      <c r="L59" s="6">
        <v>48.38</v>
      </c>
      <c r="M59" s="6">
        <v>39.299999999999997</v>
      </c>
      <c r="N59" s="6">
        <v>35.85</v>
      </c>
      <c r="O59" s="6">
        <v>43.05</v>
      </c>
      <c r="P59" s="6">
        <v>45.58</v>
      </c>
      <c r="Q59" s="6">
        <v>43.91</v>
      </c>
      <c r="R59" s="6">
        <v>39.28</v>
      </c>
      <c r="S59" s="6">
        <v>39.270000000000003</v>
      </c>
      <c r="T59" s="6">
        <v>49.6</v>
      </c>
      <c r="U59" s="6">
        <v>36.69</v>
      </c>
      <c r="V59" s="6">
        <v>35.380000000000003</v>
      </c>
      <c r="W59" s="6">
        <v>47.24</v>
      </c>
      <c r="X59" s="6">
        <v>37.549999999999997</v>
      </c>
      <c r="Y59" s="6">
        <v>36.71</v>
      </c>
      <c r="Z59" s="6">
        <v>43.55</v>
      </c>
      <c r="AA59" s="6">
        <v>47.93</v>
      </c>
      <c r="AB59" s="6">
        <v>43.79</v>
      </c>
      <c r="AC59" s="6">
        <v>42.77</v>
      </c>
      <c r="AD59" s="6">
        <v>39.57</v>
      </c>
      <c r="AE59" s="6">
        <v>49.55</v>
      </c>
      <c r="AF59" s="6">
        <v>39.71</v>
      </c>
      <c r="AG59" s="6">
        <v>37.909999999999997</v>
      </c>
      <c r="AH59" s="6">
        <v>48.73</v>
      </c>
      <c r="AI59" s="6">
        <v>40.28</v>
      </c>
      <c r="AJ59" s="6">
        <v>36.22</v>
      </c>
      <c r="AK59" s="6">
        <v>44.84</v>
      </c>
      <c r="AL59" s="6">
        <v>45.89</v>
      </c>
      <c r="AM59" s="6">
        <v>45.35</v>
      </c>
      <c r="AN59" s="6">
        <v>41.27</v>
      </c>
      <c r="AO59" s="6">
        <v>40.200000000000003</v>
      </c>
      <c r="AP59" s="6">
        <v>48.76</v>
      </c>
      <c r="AQ59" s="6">
        <v>38.72</v>
      </c>
      <c r="AR59" s="6">
        <v>36.99</v>
      </c>
      <c r="AS59" s="6">
        <v>47.04</v>
      </c>
      <c r="AT59" s="6">
        <v>39.31</v>
      </c>
      <c r="AU59" s="6">
        <v>35.31</v>
      </c>
      <c r="AV59" s="6">
        <v>44.57</v>
      </c>
      <c r="AW59" s="6">
        <v>46.53</v>
      </c>
      <c r="AX59" s="6">
        <v>44.79</v>
      </c>
      <c r="AY59" s="6">
        <v>40.64</v>
      </c>
      <c r="AZ59" s="6">
        <v>38.11</v>
      </c>
      <c r="BA59" s="6">
        <v>47.77</v>
      </c>
      <c r="BB59" s="6">
        <v>38.56</v>
      </c>
      <c r="BC59" s="6">
        <v>37.6</v>
      </c>
      <c r="BD59" s="6">
        <v>47.56</v>
      </c>
      <c r="BE59" s="6">
        <v>36.090000000000003</v>
      </c>
      <c r="BF59" s="6">
        <v>35.49</v>
      </c>
      <c r="BG59" s="6">
        <v>44.36</v>
      </c>
      <c r="BH59" s="6">
        <v>45.83</v>
      </c>
      <c r="BI59" s="6">
        <v>43.54</v>
      </c>
      <c r="BJ59" s="6">
        <v>38.71</v>
      </c>
      <c r="BK59" s="6">
        <v>37.909999999999997</v>
      </c>
      <c r="BL59" s="6">
        <v>49.99</v>
      </c>
      <c r="BM59" s="6">
        <v>37.869999999999997</v>
      </c>
      <c r="BN59" s="6">
        <v>34.450000000000003</v>
      </c>
      <c r="BO59" s="6">
        <v>49.27</v>
      </c>
      <c r="BP59">
        <f t="shared" si="0"/>
        <v>41.808358585858578</v>
      </c>
      <c r="BQ59" s="12">
        <v>0.61111111111111105</v>
      </c>
    </row>
    <row r="60" spans="1:69" ht="17.5" thickBot="1" x14ac:dyDescent="0.5">
      <c r="A60" s="5">
        <v>59</v>
      </c>
      <c r="B60" s="6">
        <v>39.299999999999997</v>
      </c>
      <c r="C60" s="6">
        <v>35.85</v>
      </c>
      <c r="D60" s="6">
        <v>43.05</v>
      </c>
      <c r="E60" s="6">
        <v>45.58</v>
      </c>
      <c r="F60" s="6">
        <v>43.91</v>
      </c>
      <c r="G60" s="6">
        <v>39.28</v>
      </c>
      <c r="H60" s="6">
        <v>39.270000000000003</v>
      </c>
      <c r="I60" s="6">
        <v>49.6</v>
      </c>
      <c r="J60" s="6">
        <v>36.69</v>
      </c>
      <c r="K60" s="6">
        <v>35.380000000000003</v>
      </c>
      <c r="L60" s="6">
        <v>47.24</v>
      </c>
      <c r="M60" s="6">
        <v>37.549999999999997</v>
      </c>
      <c r="N60" s="6">
        <v>36.71</v>
      </c>
      <c r="O60" s="6">
        <v>43.55</v>
      </c>
      <c r="P60" s="6">
        <v>47.93</v>
      </c>
      <c r="Q60" s="6">
        <v>43.79</v>
      </c>
      <c r="R60" s="6">
        <v>42.77</v>
      </c>
      <c r="S60" s="6">
        <v>39.57</v>
      </c>
      <c r="T60" s="6">
        <v>49.55</v>
      </c>
      <c r="U60" s="6">
        <v>39.71</v>
      </c>
      <c r="V60" s="6">
        <v>37.909999999999997</v>
      </c>
      <c r="W60" s="6">
        <v>48.73</v>
      </c>
      <c r="X60" s="6">
        <v>40.28</v>
      </c>
      <c r="Y60" s="6">
        <v>36.22</v>
      </c>
      <c r="Z60" s="6">
        <v>44.84</v>
      </c>
      <c r="AA60" s="6">
        <v>45.89</v>
      </c>
      <c r="AB60" s="6">
        <v>45.35</v>
      </c>
      <c r="AC60" s="6">
        <v>41.27</v>
      </c>
      <c r="AD60" s="6">
        <v>40.200000000000003</v>
      </c>
      <c r="AE60" s="6">
        <v>48.76</v>
      </c>
      <c r="AF60" s="6">
        <v>38.72</v>
      </c>
      <c r="AG60" s="6">
        <v>36.99</v>
      </c>
      <c r="AH60" s="6">
        <v>47.04</v>
      </c>
      <c r="AI60" s="6">
        <v>39.31</v>
      </c>
      <c r="AJ60" s="6">
        <v>35.31</v>
      </c>
      <c r="AK60" s="6">
        <v>44.57</v>
      </c>
      <c r="AL60" s="6">
        <v>46.53</v>
      </c>
      <c r="AM60" s="6">
        <v>44.79</v>
      </c>
      <c r="AN60" s="6">
        <v>40.64</v>
      </c>
      <c r="AO60" s="6">
        <v>38.11</v>
      </c>
      <c r="AP60" s="6">
        <v>47.77</v>
      </c>
      <c r="AQ60" s="6">
        <v>38.56</v>
      </c>
      <c r="AR60" s="6">
        <v>37.6</v>
      </c>
      <c r="AS60" s="6">
        <v>47.56</v>
      </c>
      <c r="AT60" s="6">
        <v>36.090000000000003</v>
      </c>
      <c r="AU60" s="6">
        <v>35.49</v>
      </c>
      <c r="AV60" s="6">
        <v>44.36</v>
      </c>
      <c r="AW60" s="6">
        <v>45.83</v>
      </c>
      <c r="AX60" s="6">
        <v>43.54</v>
      </c>
      <c r="AY60" s="6">
        <v>38.71</v>
      </c>
      <c r="AZ60" s="6">
        <v>37.909999999999997</v>
      </c>
      <c r="BA60" s="6">
        <v>49.99</v>
      </c>
      <c r="BB60" s="6">
        <v>37.869999999999997</v>
      </c>
      <c r="BC60" s="6">
        <v>34.450000000000003</v>
      </c>
      <c r="BD60" s="6">
        <v>49.27</v>
      </c>
      <c r="BE60" s="6">
        <v>34.64</v>
      </c>
      <c r="BF60" s="6">
        <v>34.97</v>
      </c>
      <c r="BG60" s="6">
        <v>43.63</v>
      </c>
      <c r="BH60" s="6">
        <v>46.81</v>
      </c>
      <c r="BI60" s="6">
        <v>44.44</v>
      </c>
      <c r="BJ60" s="6">
        <v>41.46</v>
      </c>
      <c r="BK60" s="6">
        <v>39.06</v>
      </c>
      <c r="BL60" s="6">
        <v>49.01</v>
      </c>
      <c r="BM60" s="6">
        <v>39.630000000000003</v>
      </c>
      <c r="BN60" s="6">
        <v>37.65</v>
      </c>
      <c r="BO60" s="6">
        <v>48.27</v>
      </c>
      <c r="BP60">
        <f t="shared" si="0"/>
        <v>41.823611111111106</v>
      </c>
      <c r="BQ60" s="12">
        <v>0.61805555555555558</v>
      </c>
    </row>
    <row r="61" spans="1:69" ht="17.5" thickBot="1" x14ac:dyDescent="0.5">
      <c r="A61" s="5">
        <v>60</v>
      </c>
      <c r="B61" s="6">
        <v>37.549999999999997</v>
      </c>
      <c r="C61" s="6">
        <v>36.71</v>
      </c>
      <c r="D61" s="6">
        <v>43.55</v>
      </c>
      <c r="E61" s="6">
        <v>47.93</v>
      </c>
      <c r="F61" s="6">
        <v>43.79</v>
      </c>
      <c r="G61" s="6">
        <v>42.77</v>
      </c>
      <c r="H61" s="6">
        <v>39.57</v>
      </c>
      <c r="I61" s="6">
        <v>49.55</v>
      </c>
      <c r="J61" s="6">
        <v>39.71</v>
      </c>
      <c r="K61" s="6">
        <v>37.909999999999997</v>
      </c>
      <c r="L61" s="6">
        <v>48.73</v>
      </c>
      <c r="M61" s="6">
        <v>40.28</v>
      </c>
      <c r="N61" s="6">
        <v>36.22</v>
      </c>
      <c r="O61" s="6">
        <v>44.84</v>
      </c>
      <c r="P61" s="6">
        <v>45.89</v>
      </c>
      <c r="Q61" s="6">
        <v>45.35</v>
      </c>
      <c r="R61" s="6">
        <v>41.27</v>
      </c>
      <c r="S61" s="6">
        <v>40.200000000000003</v>
      </c>
      <c r="T61" s="6">
        <v>48.76</v>
      </c>
      <c r="U61" s="6">
        <v>38.72</v>
      </c>
      <c r="V61" s="6">
        <v>36.99</v>
      </c>
      <c r="W61" s="6">
        <v>47.04</v>
      </c>
      <c r="X61" s="6">
        <v>39.31</v>
      </c>
      <c r="Y61" s="6">
        <v>35.31</v>
      </c>
      <c r="Z61" s="6">
        <v>44.57</v>
      </c>
      <c r="AA61" s="6">
        <v>46.53</v>
      </c>
      <c r="AB61" s="6">
        <v>44.79</v>
      </c>
      <c r="AC61" s="6">
        <v>40.64</v>
      </c>
      <c r="AD61" s="6">
        <v>38.11</v>
      </c>
      <c r="AE61" s="6">
        <v>47.77</v>
      </c>
      <c r="AF61" s="6">
        <v>38.56</v>
      </c>
      <c r="AG61" s="6">
        <v>37.6</v>
      </c>
      <c r="AH61" s="6">
        <v>47.56</v>
      </c>
      <c r="AI61" s="6">
        <v>36.090000000000003</v>
      </c>
      <c r="AJ61" s="6">
        <v>35.49</v>
      </c>
      <c r="AK61" s="6">
        <v>44.36</v>
      </c>
      <c r="AL61" s="6">
        <v>45.83</v>
      </c>
      <c r="AM61" s="6">
        <v>43.54</v>
      </c>
      <c r="AN61" s="6">
        <v>38.71</v>
      </c>
      <c r="AO61" s="6">
        <v>37.909999999999997</v>
      </c>
      <c r="AP61" s="6">
        <v>49.99</v>
      </c>
      <c r="AQ61" s="6">
        <v>37.869999999999997</v>
      </c>
      <c r="AR61" s="6">
        <v>34.450000000000003</v>
      </c>
      <c r="AS61" s="6">
        <v>49.27</v>
      </c>
      <c r="AT61" s="6">
        <v>34.64</v>
      </c>
      <c r="AU61" s="6">
        <v>34.97</v>
      </c>
      <c r="AV61" s="6">
        <v>43.63</v>
      </c>
      <c r="AW61" s="6">
        <v>46.81</v>
      </c>
      <c r="AX61" s="6">
        <v>44.44</v>
      </c>
      <c r="AY61" s="6">
        <v>41.46</v>
      </c>
      <c r="AZ61" s="6">
        <v>39.06</v>
      </c>
      <c r="BA61" s="6">
        <v>49.01</v>
      </c>
      <c r="BB61" s="6">
        <v>39.630000000000003</v>
      </c>
      <c r="BC61" s="6">
        <v>37.65</v>
      </c>
      <c r="BD61" s="6">
        <v>48.27</v>
      </c>
      <c r="BE61" s="6">
        <v>39.64</v>
      </c>
      <c r="BF61" s="6">
        <v>37.590000000000003</v>
      </c>
      <c r="BG61" s="6">
        <v>44.89</v>
      </c>
      <c r="BH61" s="6">
        <v>47.67</v>
      </c>
      <c r="BI61" s="6">
        <v>44.49</v>
      </c>
      <c r="BJ61" s="6">
        <v>41.54</v>
      </c>
      <c r="BK61" s="6">
        <v>40.82</v>
      </c>
      <c r="BL61" s="6">
        <v>49.36</v>
      </c>
      <c r="BM61" s="6">
        <v>37.49</v>
      </c>
      <c r="BN61" s="6">
        <v>38.049999999999997</v>
      </c>
      <c r="BO61" s="6">
        <v>47.36</v>
      </c>
      <c r="BP61">
        <f t="shared" si="0"/>
        <v>41.905227272727267</v>
      </c>
      <c r="BQ61" s="12">
        <v>0.625</v>
      </c>
    </row>
    <row r="62" spans="1:69" ht="17.5" thickBot="1" x14ac:dyDescent="0.5">
      <c r="A62" s="5">
        <v>61</v>
      </c>
      <c r="B62" s="6">
        <v>40.28</v>
      </c>
      <c r="C62" s="6">
        <v>36.22</v>
      </c>
      <c r="D62" s="6">
        <v>44.84</v>
      </c>
      <c r="E62" s="6">
        <v>45.89</v>
      </c>
      <c r="F62" s="6">
        <v>45.35</v>
      </c>
      <c r="G62" s="6">
        <v>41.27</v>
      </c>
      <c r="H62" s="6">
        <v>40.200000000000003</v>
      </c>
      <c r="I62" s="6">
        <v>48.76</v>
      </c>
      <c r="J62" s="6">
        <v>38.72</v>
      </c>
      <c r="K62" s="6">
        <v>36.99</v>
      </c>
      <c r="L62" s="6">
        <v>47.04</v>
      </c>
      <c r="M62" s="6">
        <v>39.31</v>
      </c>
      <c r="N62" s="6">
        <v>35.31</v>
      </c>
      <c r="O62" s="6">
        <v>44.57</v>
      </c>
      <c r="P62" s="6">
        <v>46.53</v>
      </c>
      <c r="Q62" s="6">
        <v>44.79</v>
      </c>
      <c r="R62" s="6">
        <v>40.64</v>
      </c>
      <c r="S62" s="6">
        <v>38.11</v>
      </c>
      <c r="T62" s="6">
        <v>47.77</v>
      </c>
      <c r="U62" s="6">
        <v>38.56</v>
      </c>
      <c r="V62" s="6">
        <v>37.6</v>
      </c>
      <c r="W62" s="6">
        <v>47.56</v>
      </c>
      <c r="X62" s="6">
        <v>36.090000000000003</v>
      </c>
      <c r="Y62" s="6">
        <v>35.49</v>
      </c>
      <c r="Z62" s="6">
        <v>44.36</v>
      </c>
      <c r="AA62" s="6">
        <v>45.83</v>
      </c>
      <c r="AB62" s="6">
        <v>43.54</v>
      </c>
      <c r="AC62" s="6">
        <v>38.71</v>
      </c>
      <c r="AD62" s="6">
        <v>37.909999999999997</v>
      </c>
      <c r="AE62" s="6">
        <v>49.99</v>
      </c>
      <c r="AF62" s="6">
        <v>37.869999999999997</v>
      </c>
      <c r="AG62" s="6">
        <v>34.450000000000003</v>
      </c>
      <c r="AH62" s="6">
        <v>49.27</v>
      </c>
      <c r="AI62" s="6">
        <v>34.64</v>
      </c>
      <c r="AJ62" s="6">
        <v>34.97</v>
      </c>
      <c r="AK62" s="6">
        <v>43.63</v>
      </c>
      <c r="AL62" s="6">
        <v>46.81</v>
      </c>
      <c r="AM62" s="6">
        <v>44.44</v>
      </c>
      <c r="AN62" s="6">
        <v>41.46</v>
      </c>
      <c r="AO62" s="6">
        <v>39.06</v>
      </c>
      <c r="AP62" s="6">
        <v>49.01</v>
      </c>
      <c r="AQ62" s="6">
        <v>39.630000000000003</v>
      </c>
      <c r="AR62" s="6">
        <v>37.65</v>
      </c>
      <c r="AS62" s="6">
        <v>48.27</v>
      </c>
      <c r="AT62" s="6">
        <v>39.64</v>
      </c>
      <c r="AU62" s="6">
        <v>37.590000000000003</v>
      </c>
      <c r="AV62" s="6">
        <v>44.89</v>
      </c>
      <c r="AW62" s="6">
        <v>47.67</v>
      </c>
      <c r="AX62" s="6">
        <v>44.49</v>
      </c>
      <c r="AY62" s="6">
        <v>41.54</v>
      </c>
      <c r="AZ62" s="6">
        <v>40.82</v>
      </c>
      <c r="BA62" s="6">
        <v>49.36</v>
      </c>
      <c r="BB62" s="6">
        <v>37.49</v>
      </c>
      <c r="BC62" s="6">
        <v>38.049999999999997</v>
      </c>
      <c r="BD62" s="6">
        <v>47.36</v>
      </c>
      <c r="BE62" s="6">
        <v>39.01</v>
      </c>
      <c r="BF62" s="6">
        <v>36.83</v>
      </c>
      <c r="BG62" s="6">
        <v>44.95</v>
      </c>
      <c r="BH62" s="6">
        <v>46.89</v>
      </c>
      <c r="BI62" s="6">
        <v>44.32</v>
      </c>
      <c r="BJ62" s="6">
        <v>34.22</v>
      </c>
      <c r="BK62" s="6">
        <v>37.21</v>
      </c>
      <c r="BL62" s="6">
        <v>49.19</v>
      </c>
      <c r="BM62" s="6">
        <v>38.950000000000003</v>
      </c>
      <c r="BN62" s="6">
        <v>37.49</v>
      </c>
      <c r="BO62" s="6">
        <v>48.72</v>
      </c>
      <c r="BP62">
        <f t="shared" si="0"/>
        <v>41.937878787878795</v>
      </c>
      <c r="BQ62" s="12">
        <v>0.63194444444444442</v>
      </c>
    </row>
    <row r="63" spans="1:69" ht="17.5" thickBot="1" x14ac:dyDescent="0.5">
      <c r="A63" s="5">
        <v>62</v>
      </c>
      <c r="B63" s="6">
        <v>39.31</v>
      </c>
      <c r="C63" s="6">
        <v>35.31</v>
      </c>
      <c r="D63" s="6">
        <v>44.57</v>
      </c>
      <c r="E63" s="6">
        <v>46.53</v>
      </c>
      <c r="F63" s="6">
        <v>44.79</v>
      </c>
      <c r="G63" s="6">
        <v>40.64</v>
      </c>
      <c r="H63" s="6">
        <v>38.11</v>
      </c>
      <c r="I63" s="6">
        <v>47.77</v>
      </c>
      <c r="J63" s="6">
        <v>38.56</v>
      </c>
      <c r="K63" s="6">
        <v>37.6</v>
      </c>
      <c r="L63" s="6">
        <v>47.56</v>
      </c>
      <c r="M63" s="6">
        <v>36.090000000000003</v>
      </c>
      <c r="N63" s="6">
        <v>35.49</v>
      </c>
      <c r="O63" s="6">
        <v>44.36</v>
      </c>
      <c r="P63" s="6">
        <v>45.83</v>
      </c>
      <c r="Q63" s="6">
        <v>43.54</v>
      </c>
      <c r="R63" s="6">
        <v>38.71</v>
      </c>
      <c r="S63" s="6">
        <v>37.909999999999997</v>
      </c>
      <c r="T63" s="6">
        <v>49.99</v>
      </c>
      <c r="U63" s="6">
        <v>37.869999999999997</v>
      </c>
      <c r="V63" s="6">
        <v>34.450000000000003</v>
      </c>
      <c r="W63" s="6">
        <v>49.27</v>
      </c>
      <c r="X63" s="6">
        <v>34.64</v>
      </c>
      <c r="Y63" s="6">
        <v>34.97</v>
      </c>
      <c r="Z63" s="6">
        <v>43.63</v>
      </c>
      <c r="AA63" s="6">
        <v>46.81</v>
      </c>
      <c r="AB63" s="6">
        <v>44.44</v>
      </c>
      <c r="AC63" s="6">
        <v>41.46</v>
      </c>
      <c r="AD63" s="6">
        <v>39.06</v>
      </c>
      <c r="AE63" s="6">
        <v>49.01</v>
      </c>
      <c r="AF63" s="6">
        <v>39.630000000000003</v>
      </c>
      <c r="AG63" s="6">
        <v>37.65</v>
      </c>
      <c r="AH63" s="6">
        <v>48.27</v>
      </c>
      <c r="AI63" s="6">
        <v>39.64</v>
      </c>
      <c r="AJ63" s="6">
        <v>37.590000000000003</v>
      </c>
      <c r="AK63" s="6">
        <v>44.89</v>
      </c>
      <c r="AL63" s="6">
        <v>47.67</v>
      </c>
      <c r="AM63" s="6">
        <v>44.49</v>
      </c>
      <c r="AN63" s="6">
        <v>41.54</v>
      </c>
      <c r="AO63" s="6">
        <v>40.82</v>
      </c>
      <c r="AP63" s="6">
        <v>49.36</v>
      </c>
      <c r="AQ63" s="6">
        <v>37.49</v>
      </c>
      <c r="AR63" s="6">
        <v>38.049999999999997</v>
      </c>
      <c r="AS63" s="6">
        <v>47.36</v>
      </c>
      <c r="AT63" s="6">
        <v>39.01</v>
      </c>
      <c r="AU63" s="6">
        <v>36.83</v>
      </c>
      <c r="AV63" s="6">
        <v>44.95</v>
      </c>
      <c r="AW63" s="6">
        <v>46.89</v>
      </c>
      <c r="AX63" s="6">
        <v>44.32</v>
      </c>
      <c r="AY63" s="6">
        <v>34.22</v>
      </c>
      <c r="AZ63" s="6">
        <v>37.21</v>
      </c>
      <c r="BA63" s="6">
        <v>49.19</v>
      </c>
      <c r="BB63" s="6">
        <v>38.950000000000003</v>
      </c>
      <c r="BC63" s="6">
        <v>37.49</v>
      </c>
      <c r="BD63" s="6">
        <v>48.72</v>
      </c>
      <c r="BE63" s="6">
        <v>37.04</v>
      </c>
      <c r="BF63" s="6">
        <v>35.979999999999997</v>
      </c>
      <c r="BG63" s="6">
        <v>41.72</v>
      </c>
      <c r="BH63" s="6">
        <v>46.02</v>
      </c>
      <c r="BI63" s="6">
        <v>45.67</v>
      </c>
      <c r="BJ63" s="6">
        <v>37.11</v>
      </c>
      <c r="BK63" s="6">
        <v>38.78</v>
      </c>
      <c r="BL63" s="6">
        <v>47.04</v>
      </c>
      <c r="BM63" s="6">
        <v>41.22</v>
      </c>
      <c r="BN63" s="6">
        <v>42.39</v>
      </c>
      <c r="BO63" s="6">
        <v>47.9</v>
      </c>
      <c r="BP63">
        <f t="shared" si="0"/>
        <v>41.923080808080805</v>
      </c>
      <c r="BQ63" s="12">
        <v>0.63888888888888895</v>
      </c>
    </row>
    <row r="64" spans="1:69" ht="17.5" thickBot="1" x14ac:dyDescent="0.5">
      <c r="A64" s="5">
        <v>63</v>
      </c>
      <c r="B64" s="6">
        <v>36.090000000000003</v>
      </c>
      <c r="C64" s="6">
        <v>35.49</v>
      </c>
      <c r="D64" s="6">
        <v>44.36</v>
      </c>
      <c r="E64" s="6">
        <v>45.83</v>
      </c>
      <c r="F64" s="6">
        <v>43.54</v>
      </c>
      <c r="G64" s="6">
        <v>38.71</v>
      </c>
      <c r="H64" s="6">
        <v>37.909999999999997</v>
      </c>
      <c r="I64" s="6">
        <v>49.99</v>
      </c>
      <c r="J64" s="6">
        <v>37.869999999999997</v>
      </c>
      <c r="K64" s="6">
        <v>34.450000000000003</v>
      </c>
      <c r="L64" s="6">
        <v>49.27</v>
      </c>
      <c r="M64" s="6">
        <v>34.64</v>
      </c>
      <c r="N64" s="6">
        <v>34.97</v>
      </c>
      <c r="O64" s="6">
        <v>43.63</v>
      </c>
      <c r="P64" s="6">
        <v>46.81</v>
      </c>
      <c r="Q64" s="6">
        <v>44.44</v>
      </c>
      <c r="R64" s="6">
        <v>41.46</v>
      </c>
      <c r="S64" s="6">
        <v>39.06</v>
      </c>
      <c r="T64" s="6">
        <v>49.01</v>
      </c>
      <c r="U64" s="6">
        <v>39.630000000000003</v>
      </c>
      <c r="V64" s="6">
        <v>37.65</v>
      </c>
      <c r="W64" s="6">
        <v>48.27</v>
      </c>
      <c r="X64" s="6">
        <v>39.64</v>
      </c>
      <c r="Y64" s="6">
        <v>37.590000000000003</v>
      </c>
      <c r="Z64" s="6">
        <v>44.89</v>
      </c>
      <c r="AA64" s="6">
        <v>47.67</v>
      </c>
      <c r="AB64" s="6">
        <v>44.49</v>
      </c>
      <c r="AC64" s="6">
        <v>41.54</v>
      </c>
      <c r="AD64" s="6">
        <v>40.82</v>
      </c>
      <c r="AE64" s="6">
        <v>49.36</v>
      </c>
      <c r="AF64" s="6">
        <v>37.49</v>
      </c>
      <c r="AG64" s="6">
        <v>38.049999999999997</v>
      </c>
      <c r="AH64" s="6">
        <v>47.36</v>
      </c>
      <c r="AI64" s="6">
        <v>39.01</v>
      </c>
      <c r="AJ64" s="6">
        <v>36.83</v>
      </c>
      <c r="AK64" s="6">
        <v>44.95</v>
      </c>
      <c r="AL64" s="6">
        <v>46.89</v>
      </c>
      <c r="AM64" s="6">
        <v>44.32</v>
      </c>
      <c r="AN64" s="6">
        <v>34.22</v>
      </c>
      <c r="AO64" s="6">
        <v>37.21</v>
      </c>
      <c r="AP64" s="6">
        <v>49.19</v>
      </c>
      <c r="AQ64" s="6">
        <v>38.950000000000003</v>
      </c>
      <c r="AR64" s="6">
        <v>37.49</v>
      </c>
      <c r="AS64" s="6">
        <v>48.72</v>
      </c>
      <c r="AT64" s="6">
        <v>37.04</v>
      </c>
      <c r="AU64" s="6">
        <v>35.979999999999997</v>
      </c>
      <c r="AV64" s="6">
        <v>41.72</v>
      </c>
      <c r="AW64" s="6">
        <v>46.02</v>
      </c>
      <c r="AX64" s="6">
        <v>45.67</v>
      </c>
      <c r="AY64" s="6">
        <v>37.11</v>
      </c>
      <c r="AZ64" s="6">
        <v>38.78</v>
      </c>
      <c r="BA64" s="6">
        <v>47.04</v>
      </c>
      <c r="BB64" s="6">
        <v>41.22</v>
      </c>
      <c r="BC64" s="6">
        <v>42.39</v>
      </c>
      <c r="BD64" s="6">
        <v>47.9</v>
      </c>
      <c r="BE64" s="6">
        <v>36.44</v>
      </c>
      <c r="BF64" s="6">
        <v>34.58</v>
      </c>
      <c r="BG64" s="6">
        <v>41.21</v>
      </c>
      <c r="BH64" s="6">
        <v>46.56</v>
      </c>
      <c r="BI64" s="6">
        <v>43.97</v>
      </c>
      <c r="BJ64" s="6">
        <v>39.82</v>
      </c>
      <c r="BK64" s="6">
        <v>39.71</v>
      </c>
      <c r="BL64" s="6">
        <v>49.87</v>
      </c>
      <c r="BM64" s="6">
        <v>40.97</v>
      </c>
      <c r="BN64" s="6">
        <v>40.630000000000003</v>
      </c>
      <c r="BO64" s="6">
        <v>47.74</v>
      </c>
      <c r="BP64">
        <f t="shared" si="0"/>
        <v>41.907550505050501</v>
      </c>
      <c r="BQ64" s="12">
        <v>0.64583333333333337</v>
      </c>
    </row>
    <row r="65" spans="1:69" ht="17.5" thickBot="1" x14ac:dyDescent="0.5">
      <c r="A65" s="5">
        <v>64</v>
      </c>
      <c r="B65" s="6">
        <v>34.64</v>
      </c>
      <c r="C65" s="6">
        <v>34.97</v>
      </c>
      <c r="D65" s="6">
        <v>43.63</v>
      </c>
      <c r="E65" s="6">
        <v>46.81</v>
      </c>
      <c r="F65" s="6">
        <v>44.44</v>
      </c>
      <c r="G65" s="6">
        <v>41.46</v>
      </c>
      <c r="H65" s="6">
        <v>39.06</v>
      </c>
      <c r="I65" s="6">
        <v>49.01</v>
      </c>
      <c r="J65" s="6">
        <v>39.630000000000003</v>
      </c>
      <c r="K65" s="6">
        <v>37.65</v>
      </c>
      <c r="L65" s="6">
        <v>48.27</v>
      </c>
      <c r="M65" s="6">
        <v>39.64</v>
      </c>
      <c r="N65" s="6">
        <v>37.590000000000003</v>
      </c>
      <c r="O65" s="6">
        <v>44.89</v>
      </c>
      <c r="P65" s="6">
        <v>47.67</v>
      </c>
      <c r="Q65" s="6">
        <v>44.49</v>
      </c>
      <c r="R65" s="6">
        <v>41.54</v>
      </c>
      <c r="S65" s="6">
        <v>40.82</v>
      </c>
      <c r="T65" s="6">
        <v>49.36</v>
      </c>
      <c r="U65" s="6">
        <v>37.49</v>
      </c>
      <c r="V65" s="6">
        <v>38.049999999999997</v>
      </c>
      <c r="W65" s="6">
        <v>47.36</v>
      </c>
      <c r="X65" s="6">
        <v>39.01</v>
      </c>
      <c r="Y65" s="6">
        <v>36.83</v>
      </c>
      <c r="Z65" s="6">
        <v>44.95</v>
      </c>
      <c r="AA65" s="6">
        <v>46.89</v>
      </c>
      <c r="AB65" s="6">
        <v>44.32</v>
      </c>
      <c r="AC65" s="6">
        <v>34.22</v>
      </c>
      <c r="AD65" s="6">
        <v>37.21</v>
      </c>
      <c r="AE65" s="6">
        <v>49.19</v>
      </c>
      <c r="AF65" s="6">
        <v>38.950000000000003</v>
      </c>
      <c r="AG65" s="6">
        <v>37.49</v>
      </c>
      <c r="AH65" s="6">
        <v>48.72</v>
      </c>
      <c r="AI65" s="6">
        <v>37.04</v>
      </c>
      <c r="AJ65" s="6">
        <v>35.979999999999997</v>
      </c>
      <c r="AK65" s="6">
        <v>41.72</v>
      </c>
      <c r="AL65" s="6">
        <v>46.02</v>
      </c>
      <c r="AM65" s="6">
        <v>45.67</v>
      </c>
      <c r="AN65" s="6">
        <v>37.11</v>
      </c>
      <c r="AO65" s="6">
        <v>38.78</v>
      </c>
      <c r="AP65" s="6">
        <v>47.04</v>
      </c>
      <c r="AQ65" s="6">
        <v>41.22</v>
      </c>
      <c r="AR65" s="6">
        <v>42.39</v>
      </c>
      <c r="AS65" s="6">
        <v>47.9</v>
      </c>
      <c r="AT65" s="6">
        <v>36.44</v>
      </c>
      <c r="AU65" s="6">
        <v>34.58</v>
      </c>
      <c r="AV65" s="6">
        <v>41.21</v>
      </c>
      <c r="AW65" s="6">
        <v>46.56</v>
      </c>
      <c r="AX65" s="6">
        <v>43.97</v>
      </c>
      <c r="AY65" s="6">
        <v>39.82</v>
      </c>
      <c r="AZ65" s="6">
        <v>39.71</v>
      </c>
      <c r="BA65" s="6">
        <v>49.87</v>
      </c>
      <c r="BB65" s="6">
        <v>40.97</v>
      </c>
      <c r="BC65" s="6">
        <v>40.630000000000003</v>
      </c>
      <c r="BD65" s="6">
        <v>47.74</v>
      </c>
      <c r="BE65" s="6">
        <v>35.590000000000003</v>
      </c>
      <c r="BF65" s="6">
        <v>34.71</v>
      </c>
      <c r="BG65" s="6">
        <v>44.51</v>
      </c>
      <c r="BH65" s="6">
        <v>47.29</v>
      </c>
      <c r="BI65" s="6">
        <v>46.38</v>
      </c>
      <c r="BJ65" s="6">
        <v>39.799999999999997</v>
      </c>
      <c r="BK65" s="6">
        <v>36.25</v>
      </c>
      <c r="BL65" s="6">
        <v>48.46</v>
      </c>
      <c r="BM65" s="6">
        <v>40.9</v>
      </c>
      <c r="BN65" s="6">
        <v>41.83</v>
      </c>
      <c r="BO65" s="6">
        <v>47.3</v>
      </c>
      <c r="BP65">
        <f t="shared" si="0"/>
        <v>41.918156565656531</v>
      </c>
      <c r="BQ65" s="12">
        <v>0.65277777777777779</v>
      </c>
    </row>
    <row r="66" spans="1:69" ht="17.5" thickBot="1" x14ac:dyDescent="0.5">
      <c r="A66" s="5">
        <v>65</v>
      </c>
      <c r="B66" s="6">
        <v>39.64</v>
      </c>
      <c r="C66" s="6">
        <v>37.590000000000003</v>
      </c>
      <c r="D66" s="6">
        <v>44.89</v>
      </c>
      <c r="E66" s="6">
        <v>47.67</v>
      </c>
      <c r="F66" s="6">
        <v>44.49</v>
      </c>
      <c r="G66" s="6">
        <v>41.54</v>
      </c>
      <c r="H66" s="6">
        <v>40.82</v>
      </c>
      <c r="I66" s="6">
        <v>49.36</v>
      </c>
      <c r="J66" s="6">
        <v>37.49</v>
      </c>
      <c r="K66" s="6">
        <v>38.049999999999997</v>
      </c>
      <c r="L66" s="6">
        <v>47.36</v>
      </c>
      <c r="M66" s="6">
        <v>39.01</v>
      </c>
      <c r="N66" s="6">
        <v>36.83</v>
      </c>
      <c r="O66" s="6">
        <v>44.95</v>
      </c>
      <c r="P66" s="6">
        <v>46.89</v>
      </c>
      <c r="Q66" s="6">
        <v>44.32</v>
      </c>
      <c r="R66" s="6">
        <v>34.22</v>
      </c>
      <c r="S66" s="6">
        <v>37.21</v>
      </c>
      <c r="T66" s="6">
        <v>49.19</v>
      </c>
      <c r="U66" s="6">
        <v>38.950000000000003</v>
      </c>
      <c r="V66" s="6">
        <v>37.49</v>
      </c>
      <c r="W66" s="6">
        <v>48.72</v>
      </c>
      <c r="X66" s="6">
        <v>37.04</v>
      </c>
      <c r="Y66" s="6">
        <v>35.979999999999997</v>
      </c>
      <c r="Z66" s="6">
        <v>41.72</v>
      </c>
      <c r="AA66" s="6">
        <v>46.02</v>
      </c>
      <c r="AB66" s="6">
        <v>45.67</v>
      </c>
      <c r="AC66" s="6">
        <v>37.11</v>
      </c>
      <c r="AD66" s="6">
        <v>38.78</v>
      </c>
      <c r="AE66" s="6">
        <v>47.04</v>
      </c>
      <c r="AF66" s="6">
        <v>41.22</v>
      </c>
      <c r="AG66" s="6">
        <v>42.39</v>
      </c>
      <c r="AH66" s="6">
        <v>47.9</v>
      </c>
      <c r="AI66" s="6">
        <v>36.44</v>
      </c>
      <c r="AJ66" s="6">
        <v>34.58</v>
      </c>
      <c r="AK66" s="6">
        <v>41.21</v>
      </c>
      <c r="AL66" s="6">
        <v>46.56</v>
      </c>
      <c r="AM66" s="6">
        <v>43.97</v>
      </c>
      <c r="AN66" s="6">
        <v>39.82</v>
      </c>
      <c r="AO66" s="6">
        <v>39.71</v>
      </c>
      <c r="AP66" s="6">
        <v>49.87</v>
      </c>
      <c r="AQ66" s="6">
        <v>40.97</v>
      </c>
      <c r="AR66" s="6">
        <v>40.630000000000003</v>
      </c>
      <c r="AS66" s="6">
        <v>47.74</v>
      </c>
      <c r="AT66" s="6">
        <v>35.590000000000003</v>
      </c>
      <c r="AU66" s="6">
        <v>34.71</v>
      </c>
      <c r="AV66" s="6">
        <v>44.51</v>
      </c>
      <c r="AW66" s="6">
        <v>47.29</v>
      </c>
      <c r="AX66" s="6">
        <v>46.38</v>
      </c>
      <c r="AY66" s="6">
        <v>39.799999999999997</v>
      </c>
      <c r="AZ66" s="6">
        <v>36.25</v>
      </c>
      <c r="BA66" s="6">
        <v>48.46</v>
      </c>
      <c r="BB66" s="6">
        <v>40.9</v>
      </c>
      <c r="BC66" s="6">
        <v>41.83</v>
      </c>
      <c r="BD66" s="6">
        <v>47.3</v>
      </c>
      <c r="BE66" s="6">
        <v>36.56</v>
      </c>
      <c r="BF66" s="6">
        <v>35.130000000000003</v>
      </c>
      <c r="BG66" s="6">
        <v>42.74</v>
      </c>
      <c r="BH66" s="6">
        <v>45.46</v>
      </c>
      <c r="BI66" s="6">
        <v>43.88</v>
      </c>
      <c r="BJ66" s="6">
        <v>38.229999999999997</v>
      </c>
      <c r="BK66" s="6">
        <v>37.17</v>
      </c>
      <c r="BL66" s="6">
        <v>49.09</v>
      </c>
      <c r="BM66" s="6">
        <v>40.56</v>
      </c>
      <c r="BN66" s="6">
        <v>41.84</v>
      </c>
      <c r="BO66" s="6">
        <v>46.93</v>
      </c>
      <c r="BP66">
        <f t="shared" si="0"/>
        <v>41.936717171717106</v>
      </c>
      <c r="BQ66" s="12">
        <v>0.65972222222222221</v>
      </c>
    </row>
    <row r="67" spans="1:69" ht="17.5" thickBot="1" x14ac:dyDescent="0.5">
      <c r="A67" s="5">
        <v>66</v>
      </c>
      <c r="B67" s="6">
        <v>39.01</v>
      </c>
      <c r="C67" s="6">
        <v>36.83</v>
      </c>
      <c r="D67" s="6">
        <v>44.95</v>
      </c>
      <c r="E67" s="6">
        <v>46.89</v>
      </c>
      <c r="F67" s="6">
        <v>44.32</v>
      </c>
      <c r="G67" s="6">
        <v>34.22</v>
      </c>
      <c r="H67" s="6">
        <v>37.21</v>
      </c>
      <c r="I67" s="6">
        <v>49.19</v>
      </c>
      <c r="J67" s="6">
        <v>38.950000000000003</v>
      </c>
      <c r="K67" s="6">
        <v>37.49</v>
      </c>
      <c r="L67" s="6">
        <v>48.72</v>
      </c>
      <c r="M67" s="6">
        <v>37.04</v>
      </c>
      <c r="N67" s="6">
        <v>35.979999999999997</v>
      </c>
      <c r="O67" s="6">
        <v>41.72</v>
      </c>
      <c r="P67" s="6">
        <v>46.02</v>
      </c>
      <c r="Q67" s="6">
        <v>45.67</v>
      </c>
      <c r="R67" s="6">
        <v>37.11</v>
      </c>
      <c r="S67" s="6">
        <v>38.78</v>
      </c>
      <c r="T67" s="6">
        <v>47.04</v>
      </c>
      <c r="U67" s="6">
        <v>41.22</v>
      </c>
      <c r="V67" s="6">
        <v>42.39</v>
      </c>
      <c r="W67" s="6">
        <v>47.9</v>
      </c>
      <c r="X67" s="6">
        <v>36.44</v>
      </c>
      <c r="Y67" s="6">
        <v>34.58</v>
      </c>
      <c r="Z67" s="6">
        <v>41.21</v>
      </c>
      <c r="AA67" s="6">
        <v>46.56</v>
      </c>
      <c r="AB67" s="6">
        <v>43.97</v>
      </c>
      <c r="AC67" s="6">
        <v>39.82</v>
      </c>
      <c r="AD67" s="6">
        <v>39.71</v>
      </c>
      <c r="AE67" s="6">
        <v>49.87</v>
      </c>
      <c r="AF67" s="6">
        <v>40.97</v>
      </c>
      <c r="AG67" s="6">
        <v>40.630000000000003</v>
      </c>
      <c r="AH67" s="6">
        <v>47.74</v>
      </c>
      <c r="AI67" s="6">
        <v>35.590000000000003</v>
      </c>
      <c r="AJ67" s="6">
        <v>34.71</v>
      </c>
      <c r="AK67" s="6">
        <v>44.51</v>
      </c>
      <c r="AL67" s="6">
        <v>47.29</v>
      </c>
      <c r="AM67" s="6">
        <v>46.38</v>
      </c>
      <c r="AN67" s="6">
        <v>39.799999999999997</v>
      </c>
      <c r="AO67" s="6">
        <v>36.25</v>
      </c>
      <c r="AP67" s="6">
        <v>48.46</v>
      </c>
      <c r="AQ67" s="6">
        <v>40.9</v>
      </c>
      <c r="AR67" s="6">
        <v>41.83</v>
      </c>
      <c r="AS67" s="6">
        <v>47.3</v>
      </c>
      <c r="AT67" s="6">
        <v>36.56</v>
      </c>
      <c r="AU67" s="6">
        <v>35.130000000000003</v>
      </c>
      <c r="AV67" s="6">
        <v>42.74</v>
      </c>
      <c r="AW67" s="6">
        <v>45.46</v>
      </c>
      <c r="AX67" s="6">
        <v>43.88</v>
      </c>
      <c r="AY67" s="6">
        <v>38.229999999999997</v>
      </c>
      <c r="AZ67" s="6">
        <v>37.17</v>
      </c>
      <c r="BA67" s="6">
        <v>49.09</v>
      </c>
      <c r="BB67" s="6">
        <v>40.56</v>
      </c>
      <c r="BC67" s="6">
        <v>41.84</v>
      </c>
      <c r="BD67" s="6">
        <v>46.93</v>
      </c>
      <c r="BE67" s="6">
        <v>35.1</v>
      </c>
      <c r="BF67" s="6">
        <v>37.31</v>
      </c>
      <c r="BG67" s="6">
        <v>45.07</v>
      </c>
      <c r="BH67" s="6">
        <v>46.18</v>
      </c>
      <c r="BI67" s="6">
        <v>46.67</v>
      </c>
      <c r="BJ67" s="6">
        <v>41.31</v>
      </c>
      <c r="BK67" s="6">
        <v>39.65</v>
      </c>
      <c r="BL67" s="6">
        <v>49.07</v>
      </c>
      <c r="BM67" s="6">
        <v>41.57</v>
      </c>
      <c r="BN67" s="6">
        <v>41.81</v>
      </c>
      <c r="BO67" s="6">
        <v>48.64</v>
      </c>
      <c r="BP67">
        <f t="shared" si="0"/>
        <v>41.929343434343345</v>
      </c>
      <c r="BQ67" s="12">
        <v>0.66666666666666663</v>
      </c>
    </row>
    <row r="68" spans="1:69" ht="17.5" thickBot="1" x14ac:dyDescent="0.5">
      <c r="A68" s="5">
        <v>67</v>
      </c>
      <c r="B68" s="6">
        <v>37.04</v>
      </c>
      <c r="C68" s="6">
        <v>35.979999999999997</v>
      </c>
      <c r="D68" s="6">
        <v>41.72</v>
      </c>
      <c r="E68" s="6">
        <v>46.02</v>
      </c>
      <c r="F68" s="6">
        <v>45.67</v>
      </c>
      <c r="G68" s="6">
        <v>37.11</v>
      </c>
      <c r="H68" s="6">
        <v>38.78</v>
      </c>
      <c r="I68" s="6">
        <v>47.04</v>
      </c>
      <c r="J68" s="6">
        <v>41.22</v>
      </c>
      <c r="K68" s="6">
        <v>42.39</v>
      </c>
      <c r="L68" s="6">
        <v>47.9</v>
      </c>
      <c r="M68" s="6">
        <v>36.44</v>
      </c>
      <c r="N68" s="6">
        <v>34.58</v>
      </c>
      <c r="O68" s="6">
        <v>41.21</v>
      </c>
      <c r="P68" s="6">
        <v>46.56</v>
      </c>
      <c r="Q68" s="6">
        <v>43.97</v>
      </c>
      <c r="R68" s="6">
        <v>39.82</v>
      </c>
      <c r="S68" s="6">
        <v>39.71</v>
      </c>
      <c r="T68" s="6">
        <v>49.87</v>
      </c>
      <c r="U68" s="6">
        <v>40.97</v>
      </c>
      <c r="V68" s="6">
        <v>40.630000000000003</v>
      </c>
      <c r="W68" s="6">
        <v>47.74</v>
      </c>
      <c r="X68" s="6">
        <v>35.590000000000003</v>
      </c>
      <c r="Y68" s="6">
        <v>34.71</v>
      </c>
      <c r="Z68" s="6">
        <v>44.51</v>
      </c>
      <c r="AA68" s="6">
        <v>47.29</v>
      </c>
      <c r="AB68" s="6">
        <v>46.38</v>
      </c>
      <c r="AC68" s="6">
        <v>39.799999999999997</v>
      </c>
      <c r="AD68" s="6">
        <v>36.25</v>
      </c>
      <c r="AE68" s="6">
        <v>48.46</v>
      </c>
      <c r="AF68" s="6">
        <v>40.9</v>
      </c>
      <c r="AG68" s="6">
        <v>41.83</v>
      </c>
      <c r="AH68" s="6">
        <v>47.3</v>
      </c>
      <c r="AI68" s="6">
        <v>36.56</v>
      </c>
      <c r="AJ68" s="6">
        <v>35.130000000000003</v>
      </c>
      <c r="AK68" s="6">
        <v>42.74</v>
      </c>
      <c r="AL68" s="6">
        <v>45.46</v>
      </c>
      <c r="AM68" s="6">
        <v>43.88</v>
      </c>
      <c r="AN68" s="6">
        <v>38.229999999999997</v>
      </c>
      <c r="AO68" s="6">
        <v>37.17</v>
      </c>
      <c r="AP68" s="6">
        <v>49.09</v>
      </c>
      <c r="AQ68" s="6">
        <v>40.56</v>
      </c>
      <c r="AR68" s="6">
        <v>41.84</v>
      </c>
      <c r="AS68" s="6">
        <v>46.93</v>
      </c>
      <c r="AT68" s="6">
        <v>35.1</v>
      </c>
      <c r="AU68" s="6">
        <v>37.31</v>
      </c>
      <c r="AV68" s="6">
        <v>45.07</v>
      </c>
      <c r="AW68" s="6">
        <v>46.18</v>
      </c>
      <c r="AX68" s="6">
        <v>46.67</v>
      </c>
      <c r="AY68" s="6">
        <v>41.31</v>
      </c>
      <c r="AZ68" s="6">
        <v>39.65</v>
      </c>
      <c r="BA68" s="6">
        <v>49.07</v>
      </c>
      <c r="BB68" s="6">
        <v>41.57</v>
      </c>
      <c r="BC68" s="6">
        <v>41.81</v>
      </c>
      <c r="BD68" s="6">
        <v>48.64</v>
      </c>
      <c r="BE68" s="6">
        <v>36.51</v>
      </c>
      <c r="BF68" s="6">
        <v>36.409999999999997</v>
      </c>
      <c r="BG68" s="6">
        <v>42.97</v>
      </c>
      <c r="BH68" s="6">
        <v>44.16</v>
      </c>
      <c r="BI68" s="6">
        <v>44.22</v>
      </c>
      <c r="BJ68" s="6">
        <v>40.4</v>
      </c>
      <c r="BK68" s="6">
        <v>39.08</v>
      </c>
      <c r="BL68" s="6">
        <v>47.93</v>
      </c>
      <c r="BM68" s="6">
        <v>40.89</v>
      </c>
      <c r="BN68" s="6">
        <v>39.49</v>
      </c>
      <c r="BO68" s="6">
        <v>46.69</v>
      </c>
      <c r="BP68">
        <f t="shared" si="0"/>
        <v>41.949646464646378</v>
      </c>
      <c r="BQ68" s="12">
        <v>0.67361111111111116</v>
      </c>
    </row>
    <row r="69" spans="1:69" ht="17.5" thickBot="1" x14ac:dyDescent="0.5">
      <c r="A69" s="5">
        <v>68</v>
      </c>
      <c r="B69" s="6">
        <v>36.44</v>
      </c>
      <c r="C69" s="6">
        <v>34.58</v>
      </c>
      <c r="D69" s="6">
        <v>41.21</v>
      </c>
      <c r="E69" s="6">
        <v>46.56</v>
      </c>
      <c r="F69" s="6">
        <v>43.97</v>
      </c>
      <c r="G69" s="6">
        <v>39.82</v>
      </c>
      <c r="H69" s="6">
        <v>39.71</v>
      </c>
      <c r="I69" s="6">
        <v>49.87</v>
      </c>
      <c r="J69" s="6">
        <v>40.97</v>
      </c>
      <c r="K69" s="6">
        <v>40.630000000000003</v>
      </c>
      <c r="L69" s="6">
        <v>47.74</v>
      </c>
      <c r="M69" s="6">
        <v>35.590000000000003</v>
      </c>
      <c r="N69" s="6">
        <v>34.71</v>
      </c>
      <c r="O69" s="6">
        <v>44.51</v>
      </c>
      <c r="P69" s="6">
        <v>47.29</v>
      </c>
      <c r="Q69" s="6">
        <v>46.38</v>
      </c>
      <c r="R69" s="6">
        <v>39.799999999999997</v>
      </c>
      <c r="S69" s="6">
        <v>36.25</v>
      </c>
      <c r="T69" s="6">
        <v>48.46</v>
      </c>
      <c r="U69" s="6">
        <v>40.9</v>
      </c>
      <c r="V69" s="6">
        <v>41.83</v>
      </c>
      <c r="W69" s="6">
        <v>47.3</v>
      </c>
      <c r="X69" s="6">
        <v>36.56</v>
      </c>
      <c r="Y69" s="6">
        <v>35.130000000000003</v>
      </c>
      <c r="Z69" s="6">
        <v>42.74</v>
      </c>
      <c r="AA69" s="6">
        <v>45.46</v>
      </c>
      <c r="AB69" s="6">
        <v>43.88</v>
      </c>
      <c r="AC69" s="6">
        <v>38.229999999999997</v>
      </c>
      <c r="AD69" s="6">
        <v>37.17</v>
      </c>
      <c r="AE69" s="6">
        <v>49.09</v>
      </c>
      <c r="AF69" s="6">
        <v>40.56</v>
      </c>
      <c r="AG69" s="6">
        <v>41.84</v>
      </c>
      <c r="AH69" s="6">
        <v>46.93</v>
      </c>
      <c r="AI69" s="6">
        <v>35.1</v>
      </c>
      <c r="AJ69" s="6">
        <v>37.31</v>
      </c>
      <c r="AK69" s="6">
        <v>45.07</v>
      </c>
      <c r="AL69" s="6">
        <v>46.18</v>
      </c>
      <c r="AM69" s="6">
        <v>46.67</v>
      </c>
      <c r="AN69" s="6">
        <v>41.31</v>
      </c>
      <c r="AO69" s="6">
        <v>39.65</v>
      </c>
      <c r="AP69" s="6">
        <v>49.07</v>
      </c>
      <c r="AQ69" s="6">
        <v>41.57</v>
      </c>
      <c r="AR69" s="6">
        <v>41.81</v>
      </c>
      <c r="AS69" s="6">
        <v>48.64</v>
      </c>
      <c r="AT69" s="6">
        <v>36.51</v>
      </c>
      <c r="AU69" s="6">
        <v>36.409999999999997</v>
      </c>
      <c r="AV69" s="6">
        <v>42.97</v>
      </c>
      <c r="AW69" s="6">
        <v>44.16</v>
      </c>
      <c r="AX69" s="6">
        <v>44.22</v>
      </c>
      <c r="AY69" s="6">
        <v>40.4</v>
      </c>
      <c r="AZ69" s="6">
        <v>39.08</v>
      </c>
      <c r="BA69" s="6">
        <v>47.93</v>
      </c>
      <c r="BB69" s="6">
        <v>40.89</v>
      </c>
      <c r="BC69" s="6">
        <v>39.49</v>
      </c>
      <c r="BD69" s="6">
        <v>46.69</v>
      </c>
      <c r="BE69" s="6">
        <v>36.880000000000003</v>
      </c>
      <c r="BF69" s="6">
        <v>37.49</v>
      </c>
      <c r="BG69" s="6">
        <v>46.09</v>
      </c>
      <c r="BH69" s="6">
        <v>49.32</v>
      </c>
      <c r="BI69" s="6">
        <v>45.11</v>
      </c>
      <c r="BJ69" s="6">
        <v>37.700000000000003</v>
      </c>
      <c r="BK69" s="6">
        <v>38.619999999999997</v>
      </c>
      <c r="BL69" s="6">
        <v>47.84</v>
      </c>
      <c r="BM69" s="6">
        <v>41.91</v>
      </c>
      <c r="BN69" s="6">
        <v>38.78</v>
      </c>
      <c r="BO69" s="6">
        <v>46.14</v>
      </c>
      <c r="BP69">
        <f t="shared" si="0"/>
        <v>41.994444444444333</v>
      </c>
      <c r="BQ69" s="12">
        <v>0.68055555555555547</v>
      </c>
    </row>
    <row r="70" spans="1:69" ht="17.5" thickBot="1" x14ac:dyDescent="0.5">
      <c r="A70" s="5">
        <v>69</v>
      </c>
      <c r="B70" s="6">
        <v>35.590000000000003</v>
      </c>
      <c r="C70" s="6">
        <v>34.71</v>
      </c>
      <c r="D70" s="6">
        <v>44.51</v>
      </c>
      <c r="E70" s="6">
        <v>47.29</v>
      </c>
      <c r="F70" s="6">
        <v>46.38</v>
      </c>
      <c r="G70" s="6">
        <v>39.799999999999997</v>
      </c>
      <c r="H70" s="6">
        <v>36.25</v>
      </c>
      <c r="I70" s="6">
        <v>48.46</v>
      </c>
      <c r="J70" s="6">
        <v>40.9</v>
      </c>
      <c r="K70" s="6">
        <v>41.83</v>
      </c>
      <c r="L70" s="6">
        <v>47.3</v>
      </c>
      <c r="M70" s="6">
        <v>36.56</v>
      </c>
      <c r="N70" s="6">
        <v>35.130000000000003</v>
      </c>
      <c r="O70" s="6">
        <v>42.74</v>
      </c>
      <c r="P70" s="6">
        <v>45.46</v>
      </c>
      <c r="Q70" s="6">
        <v>43.88</v>
      </c>
      <c r="R70" s="6">
        <v>38.229999999999997</v>
      </c>
      <c r="S70" s="6">
        <v>37.17</v>
      </c>
      <c r="T70" s="6">
        <v>49.09</v>
      </c>
      <c r="U70" s="6">
        <v>40.56</v>
      </c>
      <c r="V70" s="6">
        <v>41.84</v>
      </c>
      <c r="W70" s="6">
        <v>46.93</v>
      </c>
      <c r="X70" s="6">
        <v>35.1</v>
      </c>
      <c r="Y70" s="6">
        <v>37.31</v>
      </c>
      <c r="Z70" s="6">
        <v>45.07</v>
      </c>
      <c r="AA70" s="6">
        <v>46.18</v>
      </c>
      <c r="AB70" s="6">
        <v>46.67</v>
      </c>
      <c r="AC70" s="6">
        <v>41.31</v>
      </c>
      <c r="AD70" s="6">
        <v>39.65</v>
      </c>
      <c r="AE70" s="6">
        <v>49.07</v>
      </c>
      <c r="AF70" s="6">
        <v>41.57</v>
      </c>
      <c r="AG70" s="6">
        <v>41.81</v>
      </c>
      <c r="AH70" s="6">
        <v>48.64</v>
      </c>
      <c r="AI70" s="6">
        <v>36.51</v>
      </c>
      <c r="AJ70" s="6">
        <v>36.409999999999997</v>
      </c>
      <c r="AK70" s="6">
        <v>42.97</v>
      </c>
      <c r="AL70" s="6">
        <v>44.16</v>
      </c>
      <c r="AM70" s="6">
        <v>44.22</v>
      </c>
      <c r="AN70" s="6">
        <v>40.4</v>
      </c>
      <c r="AO70" s="6">
        <v>39.08</v>
      </c>
      <c r="AP70" s="6">
        <v>47.93</v>
      </c>
      <c r="AQ70" s="6">
        <v>40.89</v>
      </c>
      <c r="AR70" s="6">
        <v>39.49</v>
      </c>
      <c r="AS70" s="6">
        <v>46.69</v>
      </c>
      <c r="AT70" s="6">
        <v>36.880000000000003</v>
      </c>
      <c r="AU70" s="6">
        <v>37.49</v>
      </c>
      <c r="AV70" s="6">
        <v>46.09</v>
      </c>
      <c r="AW70" s="6">
        <v>49.32</v>
      </c>
      <c r="AX70" s="6">
        <v>45.11</v>
      </c>
      <c r="AY70" s="6">
        <v>37.700000000000003</v>
      </c>
      <c r="AZ70" s="6">
        <v>38.619999999999997</v>
      </c>
      <c r="BA70" s="6">
        <v>47.84</v>
      </c>
      <c r="BB70" s="6">
        <v>41.91</v>
      </c>
      <c r="BC70" s="6">
        <v>38.78</v>
      </c>
      <c r="BD70" s="6">
        <v>46.14</v>
      </c>
      <c r="BE70" s="6">
        <v>36.979999999999997</v>
      </c>
      <c r="BF70" s="6">
        <v>35.33</v>
      </c>
      <c r="BG70" s="6">
        <v>45.34</v>
      </c>
      <c r="BH70" s="6">
        <v>45.86</v>
      </c>
      <c r="BI70" s="6">
        <v>44.77</v>
      </c>
      <c r="BJ70" s="6">
        <v>38.450000000000003</v>
      </c>
      <c r="BK70" s="6">
        <v>35.44</v>
      </c>
      <c r="BL70" s="6">
        <v>47.14</v>
      </c>
      <c r="BM70" s="6">
        <v>40.619999999999997</v>
      </c>
      <c r="BN70" s="6">
        <v>39.83</v>
      </c>
      <c r="BO70" s="6">
        <v>45.56</v>
      </c>
      <c r="BP70">
        <f t="shared" si="0"/>
        <v>42.021742424242333</v>
      </c>
      <c r="BQ70" s="12">
        <v>0.6875</v>
      </c>
    </row>
    <row r="71" spans="1:69" ht="17.5" thickBot="1" x14ac:dyDescent="0.5">
      <c r="A71" s="5">
        <v>70</v>
      </c>
      <c r="B71" s="6">
        <v>36.56</v>
      </c>
      <c r="C71" s="6">
        <v>35.130000000000003</v>
      </c>
      <c r="D71" s="6">
        <v>42.74</v>
      </c>
      <c r="E71" s="6">
        <v>45.46</v>
      </c>
      <c r="F71" s="6">
        <v>43.88</v>
      </c>
      <c r="G71" s="6">
        <v>38.229999999999997</v>
      </c>
      <c r="H71" s="6">
        <v>37.17</v>
      </c>
      <c r="I71" s="6">
        <v>49.09</v>
      </c>
      <c r="J71" s="6">
        <v>40.56</v>
      </c>
      <c r="K71" s="6">
        <v>41.84</v>
      </c>
      <c r="L71" s="6">
        <v>46.93</v>
      </c>
      <c r="M71" s="6">
        <v>35.1</v>
      </c>
      <c r="N71" s="6">
        <v>37.31</v>
      </c>
      <c r="O71" s="6">
        <v>45.07</v>
      </c>
      <c r="P71" s="6">
        <v>46.18</v>
      </c>
      <c r="Q71" s="6">
        <v>46.67</v>
      </c>
      <c r="R71" s="6">
        <v>41.31</v>
      </c>
      <c r="S71" s="6">
        <v>39.65</v>
      </c>
      <c r="T71" s="6">
        <v>49.07</v>
      </c>
      <c r="U71" s="6">
        <v>41.57</v>
      </c>
      <c r="V71" s="6">
        <v>41.81</v>
      </c>
      <c r="W71" s="6">
        <v>48.64</v>
      </c>
      <c r="X71" s="6">
        <v>36.51</v>
      </c>
      <c r="Y71" s="6">
        <v>36.409999999999997</v>
      </c>
      <c r="Z71" s="6">
        <v>42.97</v>
      </c>
      <c r="AA71" s="6">
        <v>44.16</v>
      </c>
      <c r="AB71" s="6">
        <v>44.22</v>
      </c>
      <c r="AC71" s="6">
        <v>40.4</v>
      </c>
      <c r="AD71" s="6">
        <v>39.08</v>
      </c>
      <c r="AE71" s="6">
        <v>47.93</v>
      </c>
      <c r="AF71" s="6">
        <v>40.89</v>
      </c>
      <c r="AG71" s="6">
        <v>39.49</v>
      </c>
      <c r="AH71" s="6">
        <v>46.69</v>
      </c>
      <c r="AI71" s="6">
        <v>36.880000000000003</v>
      </c>
      <c r="AJ71" s="6">
        <v>37.49</v>
      </c>
      <c r="AK71" s="6">
        <v>46.09</v>
      </c>
      <c r="AL71" s="6">
        <v>49.32</v>
      </c>
      <c r="AM71" s="6">
        <v>45.11</v>
      </c>
      <c r="AN71" s="6">
        <v>37.700000000000003</v>
      </c>
      <c r="AO71" s="6">
        <v>38.619999999999997</v>
      </c>
      <c r="AP71" s="6">
        <v>47.84</v>
      </c>
      <c r="AQ71" s="6">
        <v>41.91</v>
      </c>
      <c r="AR71" s="6">
        <v>38.78</v>
      </c>
      <c r="AS71" s="6">
        <v>46.14</v>
      </c>
      <c r="AT71" s="6">
        <v>36.979999999999997</v>
      </c>
      <c r="AU71" s="6">
        <v>35.33</v>
      </c>
      <c r="AV71" s="6">
        <v>45.34</v>
      </c>
      <c r="AW71" s="6">
        <v>45.86</v>
      </c>
      <c r="AX71" s="6">
        <v>44.77</v>
      </c>
      <c r="AY71" s="6">
        <v>38.450000000000003</v>
      </c>
      <c r="AZ71" s="6">
        <v>35.44</v>
      </c>
      <c r="BA71" s="6">
        <v>47.14</v>
      </c>
      <c r="BB71" s="6">
        <v>40.619999999999997</v>
      </c>
      <c r="BC71" s="6">
        <v>39.83</v>
      </c>
      <c r="BD71" s="6">
        <v>45.56</v>
      </c>
      <c r="BE71" s="6">
        <v>37.19</v>
      </c>
      <c r="BF71" s="6">
        <v>35.18</v>
      </c>
      <c r="BG71" s="6">
        <v>45.31</v>
      </c>
      <c r="BH71" s="6">
        <v>49.42</v>
      </c>
      <c r="BI71" s="6">
        <v>44.63</v>
      </c>
      <c r="BJ71" s="6">
        <v>41.82</v>
      </c>
      <c r="BK71" s="6">
        <v>39.07</v>
      </c>
      <c r="BL71" s="6">
        <v>47.15</v>
      </c>
      <c r="BM71" s="6">
        <v>41.85</v>
      </c>
      <c r="BN71" s="6">
        <v>42.75</v>
      </c>
      <c r="BO71" s="6">
        <v>47.3</v>
      </c>
      <c r="BP71">
        <f t="shared" si="0"/>
        <v>42.046868686868628</v>
      </c>
      <c r="BQ71" s="12">
        <v>0.69444444444444453</v>
      </c>
    </row>
    <row r="72" spans="1:69" ht="17.5" thickBot="1" x14ac:dyDescent="0.5">
      <c r="A72" s="5">
        <v>71</v>
      </c>
      <c r="B72" s="6">
        <v>35.1</v>
      </c>
      <c r="C72" s="6">
        <v>37.31</v>
      </c>
      <c r="D72" s="6">
        <v>45.07</v>
      </c>
      <c r="E72" s="6">
        <v>46.18</v>
      </c>
      <c r="F72" s="6">
        <v>46.67</v>
      </c>
      <c r="G72" s="6">
        <v>41.31</v>
      </c>
      <c r="H72" s="6">
        <v>39.65</v>
      </c>
      <c r="I72" s="6">
        <v>49.07</v>
      </c>
      <c r="J72" s="6">
        <v>41.57</v>
      </c>
      <c r="K72" s="6">
        <v>41.81</v>
      </c>
      <c r="L72" s="6">
        <v>48.64</v>
      </c>
      <c r="M72" s="6">
        <v>36.51</v>
      </c>
      <c r="N72" s="6">
        <v>36.409999999999997</v>
      </c>
      <c r="O72" s="6">
        <v>42.97</v>
      </c>
      <c r="P72" s="6">
        <v>44.16</v>
      </c>
      <c r="Q72" s="6">
        <v>44.22</v>
      </c>
      <c r="R72" s="6">
        <v>40.4</v>
      </c>
      <c r="S72" s="6">
        <v>39.08</v>
      </c>
      <c r="T72" s="6">
        <v>47.93</v>
      </c>
      <c r="U72" s="6">
        <v>40.89</v>
      </c>
      <c r="V72" s="6">
        <v>39.49</v>
      </c>
      <c r="W72" s="6">
        <v>46.69</v>
      </c>
      <c r="X72" s="6">
        <v>36.880000000000003</v>
      </c>
      <c r="Y72" s="6">
        <v>37.49</v>
      </c>
      <c r="Z72" s="6">
        <v>46.09</v>
      </c>
      <c r="AA72" s="6">
        <v>49.32</v>
      </c>
      <c r="AB72" s="6">
        <v>45.11</v>
      </c>
      <c r="AC72" s="6">
        <v>37.700000000000003</v>
      </c>
      <c r="AD72" s="6">
        <v>38.619999999999997</v>
      </c>
      <c r="AE72" s="6">
        <v>47.84</v>
      </c>
      <c r="AF72" s="6">
        <v>41.91</v>
      </c>
      <c r="AG72" s="6">
        <v>38.78</v>
      </c>
      <c r="AH72" s="6">
        <v>46.14</v>
      </c>
      <c r="AI72" s="6">
        <v>36.979999999999997</v>
      </c>
      <c r="AJ72" s="6">
        <v>35.33</v>
      </c>
      <c r="AK72" s="6">
        <v>45.34</v>
      </c>
      <c r="AL72" s="6">
        <v>45.86</v>
      </c>
      <c r="AM72" s="6">
        <v>44.77</v>
      </c>
      <c r="AN72" s="6">
        <v>38.450000000000003</v>
      </c>
      <c r="AO72" s="6">
        <v>35.44</v>
      </c>
      <c r="AP72" s="6">
        <v>47.14</v>
      </c>
      <c r="AQ72" s="6">
        <v>40.619999999999997</v>
      </c>
      <c r="AR72" s="6">
        <v>39.83</v>
      </c>
      <c r="AS72" s="6">
        <v>45.56</v>
      </c>
      <c r="AT72" s="6">
        <v>37.19</v>
      </c>
      <c r="AU72" s="6">
        <v>35.18</v>
      </c>
      <c r="AV72" s="6">
        <v>45.31</v>
      </c>
      <c r="AW72" s="6">
        <v>49.42</v>
      </c>
      <c r="AX72" s="6">
        <v>44.63</v>
      </c>
      <c r="AY72" s="6">
        <v>41.82</v>
      </c>
      <c r="AZ72" s="6">
        <v>39.07</v>
      </c>
      <c r="BA72" s="6">
        <v>47.15</v>
      </c>
      <c r="BB72" s="6">
        <v>41.85</v>
      </c>
      <c r="BC72" s="6">
        <v>42.75</v>
      </c>
      <c r="BD72" s="6">
        <v>47.3</v>
      </c>
      <c r="BE72" s="6">
        <v>35.29</v>
      </c>
      <c r="BF72" s="6">
        <v>35.74</v>
      </c>
      <c r="BG72" s="6">
        <v>47.66</v>
      </c>
      <c r="BH72" s="6">
        <v>47.72</v>
      </c>
      <c r="BI72" s="6">
        <v>44.04</v>
      </c>
      <c r="BJ72" s="6">
        <v>34.9</v>
      </c>
      <c r="BK72" s="6">
        <v>37.24</v>
      </c>
      <c r="BL72" s="6">
        <v>46.72</v>
      </c>
      <c r="BM72" s="6">
        <v>41.17</v>
      </c>
      <c r="BN72" s="6">
        <v>40.729999999999997</v>
      </c>
      <c r="BO72" s="6">
        <v>47.86</v>
      </c>
      <c r="BP72">
        <f t="shared" ref="BP72:BP97" si="1">AVERAGE(B67:BO72)</f>
        <v>42.08073232323229</v>
      </c>
      <c r="BQ72" s="12">
        <v>0.70138888888888884</v>
      </c>
    </row>
    <row r="73" spans="1:69" ht="17.5" thickBot="1" x14ac:dyDescent="0.5">
      <c r="A73" s="5">
        <v>72</v>
      </c>
      <c r="B73" s="6">
        <v>36.51</v>
      </c>
      <c r="C73" s="6">
        <v>36.409999999999997</v>
      </c>
      <c r="D73" s="6">
        <v>42.97</v>
      </c>
      <c r="E73" s="6">
        <v>44.16</v>
      </c>
      <c r="F73" s="6">
        <v>44.22</v>
      </c>
      <c r="G73" s="6">
        <v>40.4</v>
      </c>
      <c r="H73" s="6">
        <v>39.08</v>
      </c>
      <c r="I73" s="6">
        <v>47.93</v>
      </c>
      <c r="J73" s="6">
        <v>40.89</v>
      </c>
      <c r="K73" s="6">
        <v>39.49</v>
      </c>
      <c r="L73" s="6">
        <v>46.69</v>
      </c>
      <c r="M73" s="6">
        <v>36.880000000000003</v>
      </c>
      <c r="N73" s="6">
        <v>37.49</v>
      </c>
      <c r="O73" s="6">
        <v>46.09</v>
      </c>
      <c r="P73" s="6">
        <v>49.32</v>
      </c>
      <c r="Q73" s="6">
        <v>45.11</v>
      </c>
      <c r="R73" s="6">
        <v>37.700000000000003</v>
      </c>
      <c r="S73" s="6">
        <v>38.619999999999997</v>
      </c>
      <c r="T73" s="6">
        <v>47.84</v>
      </c>
      <c r="U73" s="6">
        <v>41.91</v>
      </c>
      <c r="V73" s="6">
        <v>38.78</v>
      </c>
      <c r="W73" s="6">
        <v>46.14</v>
      </c>
      <c r="X73" s="6">
        <v>36.979999999999997</v>
      </c>
      <c r="Y73" s="6">
        <v>35.33</v>
      </c>
      <c r="Z73" s="6">
        <v>45.34</v>
      </c>
      <c r="AA73" s="6">
        <v>45.86</v>
      </c>
      <c r="AB73" s="6">
        <v>44.77</v>
      </c>
      <c r="AC73" s="6">
        <v>38.450000000000003</v>
      </c>
      <c r="AD73" s="6">
        <v>35.44</v>
      </c>
      <c r="AE73" s="6">
        <v>47.14</v>
      </c>
      <c r="AF73" s="6">
        <v>40.619999999999997</v>
      </c>
      <c r="AG73" s="6">
        <v>39.83</v>
      </c>
      <c r="AH73" s="6">
        <v>45.56</v>
      </c>
      <c r="AI73" s="6">
        <v>37.19</v>
      </c>
      <c r="AJ73" s="6">
        <v>35.18</v>
      </c>
      <c r="AK73" s="6">
        <v>45.31</v>
      </c>
      <c r="AL73" s="6">
        <v>49.42</v>
      </c>
      <c r="AM73" s="6">
        <v>44.63</v>
      </c>
      <c r="AN73" s="6">
        <v>41.82</v>
      </c>
      <c r="AO73" s="6">
        <v>39.07</v>
      </c>
      <c r="AP73" s="6">
        <v>47.15</v>
      </c>
      <c r="AQ73" s="6">
        <v>41.85</v>
      </c>
      <c r="AR73" s="6">
        <v>42.75</v>
      </c>
      <c r="AS73" s="6">
        <v>47.3</v>
      </c>
      <c r="AT73" s="6">
        <v>35.29</v>
      </c>
      <c r="AU73" s="6">
        <v>35.74</v>
      </c>
      <c r="AV73" s="6">
        <v>47.66</v>
      </c>
      <c r="AW73" s="6">
        <v>47.72</v>
      </c>
      <c r="AX73" s="6">
        <v>44.04</v>
      </c>
      <c r="AY73" s="6">
        <v>34.9</v>
      </c>
      <c r="AZ73" s="6">
        <v>37.24</v>
      </c>
      <c r="BA73" s="6">
        <v>46.72</v>
      </c>
      <c r="BB73" s="6">
        <v>41.17</v>
      </c>
      <c r="BC73" s="6">
        <v>40.729999999999997</v>
      </c>
      <c r="BD73" s="6">
        <v>47.86</v>
      </c>
      <c r="BE73" s="6">
        <v>36.68</v>
      </c>
      <c r="BF73" s="6">
        <v>34.89</v>
      </c>
      <c r="BG73" s="6">
        <v>46.88</v>
      </c>
      <c r="BH73" s="6">
        <v>47.75</v>
      </c>
      <c r="BI73" s="6">
        <v>45.5</v>
      </c>
      <c r="BJ73" s="6">
        <v>39.58</v>
      </c>
      <c r="BK73" s="6">
        <v>38.58</v>
      </c>
      <c r="BL73" s="6">
        <v>48.76</v>
      </c>
      <c r="BM73" s="6">
        <v>42.2</v>
      </c>
      <c r="BN73" s="6">
        <v>41.29</v>
      </c>
      <c r="BO73" s="6">
        <v>46.53</v>
      </c>
      <c r="BP73">
        <f t="shared" si="1"/>
        <v>42.096363636363606</v>
      </c>
      <c r="BQ73" s="12">
        <v>0.70833333333333337</v>
      </c>
    </row>
    <row r="74" spans="1:69" ht="17.5" thickBot="1" x14ac:dyDescent="0.5">
      <c r="A74" s="5">
        <v>73</v>
      </c>
      <c r="B74" s="6">
        <v>36.880000000000003</v>
      </c>
      <c r="C74" s="6">
        <v>37.49</v>
      </c>
      <c r="D74" s="6">
        <v>46.09</v>
      </c>
      <c r="E74" s="6">
        <v>49.32</v>
      </c>
      <c r="F74" s="6">
        <v>45.11</v>
      </c>
      <c r="G74" s="6">
        <v>37.700000000000003</v>
      </c>
      <c r="H74" s="6">
        <v>38.619999999999997</v>
      </c>
      <c r="I74" s="6">
        <v>47.84</v>
      </c>
      <c r="J74" s="6">
        <v>41.91</v>
      </c>
      <c r="K74" s="6">
        <v>38.78</v>
      </c>
      <c r="L74" s="6">
        <v>46.14</v>
      </c>
      <c r="M74" s="6">
        <v>36.979999999999997</v>
      </c>
      <c r="N74" s="6">
        <v>35.33</v>
      </c>
      <c r="O74" s="6">
        <v>45.34</v>
      </c>
      <c r="P74" s="6">
        <v>45.86</v>
      </c>
      <c r="Q74" s="6">
        <v>44.77</v>
      </c>
      <c r="R74" s="6">
        <v>38.450000000000003</v>
      </c>
      <c r="S74" s="6">
        <v>35.44</v>
      </c>
      <c r="T74" s="6">
        <v>47.14</v>
      </c>
      <c r="U74" s="6">
        <v>40.619999999999997</v>
      </c>
      <c r="V74" s="6">
        <v>39.83</v>
      </c>
      <c r="W74" s="6">
        <v>45.56</v>
      </c>
      <c r="X74" s="6">
        <v>37.19</v>
      </c>
      <c r="Y74" s="6">
        <v>35.18</v>
      </c>
      <c r="Z74" s="6">
        <v>45.31</v>
      </c>
      <c r="AA74" s="6">
        <v>49.42</v>
      </c>
      <c r="AB74" s="6">
        <v>44.63</v>
      </c>
      <c r="AC74" s="6">
        <v>41.82</v>
      </c>
      <c r="AD74" s="6">
        <v>39.07</v>
      </c>
      <c r="AE74" s="6">
        <v>47.15</v>
      </c>
      <c r="AF74" s="6">
        <v>41.85</v>
      </c>
      <c r="AG74" s="6">
        <v>42.75</v>
      </c>
      <c r="AH74" s="6">
        <v>47.3</v>
      </c>
      <c r="AI74" s="6">
        <v>35.29</v>
      </c>
      <c r="AJ74" s="6">
        <v>35.74</v>
      </c>
      <c r="AK74" s="6">
        <v>47.66</v>
      </c>
      <c r="AL74" s="6">
        <v>47.72</v>
      </c>
      <c r="AM74" s="6">
        <v>44.04</v>
      </c>
      <c r="AN74" s="6">
        <v>34.9</v>
      </c>
      <c r="AO74" s="6">
        <v>37.24</v>
      </c>
      <c r="AP74" s="6">
        <v>46.72</v>
      </c>
      <c r="AQ74" s="6">
        <v>41.17</v>
      </c>
      <c r="AR74" s="6">
        <v>40.729999999999997</v>
      </c>
      <c r="AS74" s="6">
        <v>47.86</v>
      </c>
      <c r="AT74" s="6">
        <v>36.68</v>
      </c>
      <c r="AU74" s="6">
        <v>34.89</v>
      </c>
      <c r="AV74" s="6">
        <v>46.88</v>
      </c>
      <c r="AW74" s="6">
        <v>47.75</v>
      </c>
      <c r="AX74" s="6">
        <v>45.5</v>
      </c>
      <c r="AY74" s="6">
        <v>39.58</v>
      </c>
      <c r="AZ74" s="6">
        <v>38.58</v>
      </c>
      <c r="BA74" s="6">
        <v>48.76</v>
      </c>
      <c r="BB74" s="6">
        <v>42.2</v>
      </c>
      <c r="BC74" s="6">
        <v>41.29</v>
      </c>
      <c r="BD74" s="6">
        <v>46.53</v>
      </c>
      <c r="BE74" s="6">
        <v>36.380000000000003</v>
      </c>
      <c r="BF74" s="6">
        <v>34.880000000000003</v>
      </c>
      <c r="BG74" s="6">
        <v>46.17</v>
      </c>
      <c r="BH74" s="6">
        <v>47.9</v>
      </c>
      <c r="BI74" s="6">
        <v>44.63</v>
      </c>
      <c r="BJ74" s="6">
        <v>39.85</v>
      </c>
      <c r="BK74" s="6">
        <v>37.31</v>
      </c>
      <c r="BL74" s="6">
        <v>46.21</v>
      </c>
      <c r="BM74" s="6">
        <v>41.56</v>
      </c>
      <c r="BN74" s="6">
        <v>40.049999999999997</v>
      </c>
      <c r="BO74" s="6">
        <v>46.19</v>
      </c>
      <c r="BP74">
        <f t="shared" si="1"/>
        <v>42.115555555555545</v>
      </c>
      <c r="BQ74" s="12">
        <v>0.71527777777777779</v>
      </c>
    </row>
    <row r="75" spans="1:69" ht="17.5" thickBot="1" x14ac:dyDescent="0.5">
      <c r="A75" s="5">
        <v>74</v>
      </c>
      <c r="B75" s="6">
        <v>36.979999999999997</v>
      </c>
      <c r="C75" s="6">
        <v>35.33</v>
      </c>
      <c r="D75" s="6">
        <v>45.34</v>
      </c>
      <c r="E75" s="6">
        <v>45.86</v>
      </c>
      <c r="F75" s="6">
        <v>44.77</v>
      </c>
      <c r="G75" s="6">
        <v>38.450000000000003</v>
      </c>
      <c r="H75" s="6">
        <v>35.44</v>
      </c>
      <c r="I75" s="6">
        <v>47.14</v>
      </c>
      <c r="J75" s="6">
        <v>40.619999999999997</v>
      </c>
      <c r="K75" s="6">
        <v>39.83</v>
      </c>
      <c r="L75" s="6">
        <v>45.56</v>
      </c>
      <c r="M75" s="6">
        <v>37.19</v>
      </c>
      <c r="N75" s="6">
        <v>35.18</v>
      </c>
      <c r="O75" s="6">
        <v>45.31</v>
      </c>
      <c r="P75" s="6">
        <v>49.42</v>
      </c>
      <c r="Q75" s="6">
        <v>44.63</v>
      </c>
      <c r="R75" s="6">
        <v>41.82</v>
      </c>
      <c r="S75" s="6">
        <v>39.07</v>
      </c>
      <c r="T75" s="6">
        <v>47.15</v>
      </c>
      <c r="U75" s="6">
        <v>41.85</v>
      </c>
      <c r="V75" s="6">
        <v>42.75</v>
      </c>
      <c r="W75" s="6">
        <v>47.3</v>
      </c>
      <c r="X75" s="6">
        <v>35.29</v>
      </c>
      <c r="Y75" s="6">
        <v>35.74</v>
      </c>
      <c r="Z75" s="6">
        <v>47.66</v>
      </c>
      <c r="AA75" s="6">
        <v>47.72</v>
      </c>
      <c r="AB75" s="6">
        <v>44.04</v>
      </c>
      <c r="AC75" s="6">
        <v>34.9</v>
      </c>
      <c r="AD75" s="6">
        <v>37.24</v>
      </c>
      <c r="AE75" s="6">
        <v>46.72</v>
      </c>
      <c r="AF75" s="6">
        <v>41.17</v>
      </c>
      <c r="AG75" s="6">
        <v>40.729999999999997</v>
      </c>
      <c r="AH75" s="6">
        <v>47.86</v>
      </c>
      <c r="AI75" s="6">
        <v>36.68</v>
      </c>
      <c r="AJ75" s="6">
        <v>34.89</v>
      </c>
      <c r="AK75" s="6">
        <v>46.88</v>
      </c>
      <c r="AL75" s="6">
        <v>47.75</v>
      </c>
      <c r="AM75" s="6">
        <v>45.5</v>
      </c>
      <c r="AN75" s="6">
        <v>39.58</v>
      </c>
      <c r="AO75" s="6">
        <v>38.58</v>
      </c>
      <c r="AP75" s="6">
        <v>48.76</v>
      </c>
      <c r="AQ75" s="6">
        <v>42.2</v>
      </c>
      <c r="AR75" s="6">
        <v>41.29</v>
      </c>
      <c r="AS75" s="6">
        <v>46.53</v>
      </c>
      <c r="AT75" s="6">
        <v>36.380000000000003</v>
      </c>
      <c r="AU75" s="6">
        <v>34.880000000000003</v>
      </c>
      <c r="AV75" s="6">
        <v>46.17</v>
      </c>
      <c r="AW75" s="6">
        <v>47.9</v>
      </c>
      <c r="AX75" s="6">
        <v>44.63</v>
      </c>
      <c r="AY75" s="6">
        <v>39.85</v>
      </c>
      <c r="AZ75" s="6">
        <v>37.31</v>
      </c>
      <c r="BA75" s="6">
        <v>46.21</v>
      </c>
      <c r="BB75" s="6">
        <v>41.56</v>
      </c>
      <c r="BC75" s="6">
        <v>40.049999999999997</v>
      </c>
      <c r="BD75" s="6">
        <v>46.19</v>
      </c>
      <c r="BE75" s="6">
        <v>32.520000000000003</v>
      </c>
      <c r="BF75" s="6">
        <v>33.4</v>
      </c>
      <c r="BG75" s="6">
        <v>44.82</v>
      </c>
      <c r="BH75" s="6">
        <v>47.36</v>
      </c>
      <c r="BI75" s="6">
        <v>44.57</v>
      </c>
      <c r="BJ75" s="6">
        <v>44.5</v>
      </c>
      <c r="BK75" s="6">
        <v>40.15</v>
      </c>
      <c r="BL75" s="6">
        <v>48.28</v>
      </c>
      <c r="BM75" s="6">
        <v>42.96</v>
      </c>
      <c r="BN75" s="6">
        <v>43.97</v>
      </c>
      <c r="BO75" s="6">
        <v>48.67</v>
      </c>
      <c r="BP75">
        <f t="shared" si="1"/>
        <v>42.135530303030279</v>
      </c>
      <c r="BQ75" s="12">
        <v>0.72222222222222221</v>
      </c>
    </row>
    <row r="76" spans="1:69" ht="17.5" thickBot="1" x14ac:dyDescent="0.5">
      <c r="A76" s="5">
        <v>75</v>
      </c>
      <c r="B76" s="6">
        <v>37.19</v>
      </c>
      <c r="C76" s="6">
        <v>35.18</v>
      </c>
      <c r="D76" s="6">
        <v>45.31</v>
      </c>
      <c r="E76" s="6">
        <v>49.42</v>
      </c>
      <c r="F76" s="6">
        <v>44.63</v>
      </c>
      <c r="G76" s="6">
        <v>41.82</v>
      </c>
      <c r="H76" s="6">
        <v>39.07</v>
      </c>
      <c r="I76" s="6">
        <v>47.15</v>
      </c>
      <c r="J76" s="6">
        <v>41.85</v>
      </c>
      <c r="K76" s="6">
        <v>42.75</v>
      </c>
      <c r="L76" s="6">
        <v>47.3</v>
      </c>
      <c r="M76" s="6">
        <v>35.29</v>
      </c>
      <c r="N76" s="6">
        <v>35.74</v>
      </c>
      <c r="O76" s="6">
        <v>47.66</v>
      </c>
      <c r="P76" s="6">
        <v>47.72</v>
      </c>
      <c r="Q76" s="6">
        <v>44.04</v>
      </c>
      <c r="R76" s="6">
        <v>34.9</v>
      </c>
      <c r="S76" s="6">
        <v>37.24</v>
      </c>
      <c r="T76" s="6">
        <v>46.72</v>
      </c>
      <c r="U76" s="6">
        <v>41.17</v>
      </c>
      <c r="V76" s="6">
        <v>40.729999999999997</v>
      </c>
      <c r="W76" s="6">
        <v>47.86</v>
      </c>
      <c r="X76" s="6">
        <v>36.68</v>
      </c>
      <c r="Y76" s="6">
        <v>34.89</v>
      </c>
      <c r="Z76" s="6">
        <v>46.88</v>
      </c>
      <c r="AA76" s="6">
        <v>47.75</v>
      </c>
      <c r="AB76" s="6">
        <v>45.5</v>
      </c>
      <c r="AC76" s="6">
        <v>39.58</v>
      </c>
      <c r="AD76" s="6">
        <v>38.58</v>
      </c>
      <c r="AE76" s="6">
        <v>48.76</v>
      </c>
      <c r="AF76" s="6">
        <v>42.2</v>
      </c>
      <c r="AG76" s="6">
        <v>41.29</v>
      </c>
      <c r="AH76" s="6">
        <v>46.53</v>
      </c>
      <c r="AI76" s="6">
        <v>36.380000000000003</v>
      </c>
      <c r="AJ76" s="6">
        <v>34.880000000000003</v>
      </c>
      <c r="AK76" s="6">
        <v>46.17</v>
      </c>
      <c r="AL76" s="6">
        <v>47.9</v>
      </c>
      <c r="AM76" s="6">
        <v>44.63</v>
      </c>
      <c r="AN76" s="6">
        <v>39.85</v>
      </c>
      <c r="AO76" s="6">
        <v>37.31</v>
      </c>
      <c r="AP76" s="6">
        <v>46.21</v>
      </c>
      <c r="AQ76" s="6">
        <v>41.56</v>
      </c>
      <c r="AR76" s="6">
        <v>40.049999999999997</v>
      </c>
      <c r="AS76" s="6">
        <v>46.19</v>
      </c>
      <c r="AT76" s="6">
        <v>32.520000000000003</v>
      </c>
      <c r="AU76" s="6">
        <v>33.4</v>
      </c>
      <c r="AV76" s="6">
        <v>44.82</v>
      </c>
      <c r="AW76" s="6">
        <v>47.36</v>
      </c>
      <c r="AX76" s="6">
        <v>44.57</v>
      </c>
      <c r="AY76" s="6">
        <v>44.5</v>
      </c>
      <c r="AZ76" s="6">
        <v>40.15</v>
      </c>
      <c r="BA76" s="6">
        <v>48.28</v>
      </c>
      <c r="BB76" s="6">
        <v>42.96</v>
      </c>
      <c r="BC76" s="6">
        <v>43.97</v>
      </c>
      <c r="BD76" s="6">
        <v>48.67</v>
      </c>
      <c r="BE76" s="6">
        <v>35.79</v>
      </c>
      <c r="BF76" s="6">
        <v>35.14</v>
      </c>
      <c r="BG76" s="6">
        <v>44.46</v>
      </c>
      <c r="BH76" s="6">
        <v>46.97</v>
      </c>
      <c r="BI76" s="6">
        <v>44.01</v>
      </c>
      <c r="BJ76" s="6">
        <v>43.35</v>
      </c>
      <c r="BK76" s="6">
        <v>38.26</v>
      </c>
      <c r="BL76" s="6">
        <v>48.61</v>
      </c>
      <c r="BM76" s="6">
        <v>40.299999999999997</v>
      </c>
      <c r="BN76" s="6">
        <v>41.35</v>
      </c>
      <c r="BO76" s="6">
        <v>47.59</v>
      </c>
      <c r="BP76">
        <f t="shared" si="1"/>
        <v>42.197651515151463</v>
      </c>
      <c r="BQ76" s="12">
        <v>0.72916666666666663</v>
      </c>
    </row>
    <row r="77" spans="1:69" ht="17.5" thickBot="1" x14ac:dyDescent="0.5">
      <c r="A77" s="5">
        <v>76</v>
      </c>
      <c r="B77" s="6">
        <v>35.29</v>
      </c>
      <c r="C77" s="6">
        <v>35.74</v>
      </c>
      <c r="D77" s="6">
        <v>47.66</v>
      </c>
      <c r="E77" s="6">
        <v>47.72</v>
      </c>
      <c r="F77" s="6">
        <v>44.04</v>
      </c>
      <c r="G77" s="6">
        <v>34.9</v>
      </c>
      <c r="H77" s="6">
        <v>37.24</v>
      </c>
      <c r="I77" s="6">
        <v>46.72</v>
      </c>
      <c r="J77" s="6">
        <v>41.17</v>
      </c>
      <c r="K77" s="6">
        <v>40.729999999999997</v>
      </c>
      <c r="L77" s="6">
        <v>47.86</v>
      </c>
      <c r="M77" s="6">
        <v>36.68</v>
      </c>
      <c r="N77" s="6">
        <v>34.89</v>
      </c>
      <c r="O77" s="6">
        <v>46.88</v>
      </c>
      <c r="P77" s="6">
        <v>47.75</v>
      </c>
      <c r="Q77" s="6">
        <v>45.5</v>
      </c>
      <c r="R77" s="6">
        <v>39.58</v>
      </c>
      <c r="S77" s="6">
        <v>38.58</v>
      </c>
      <c r="T77" s="6">
        <v>48.76</v>
      </c>
      <c r="U77" s="6">
        <v>42.2</v>
      </c>
      <c r="V77" s="6">
        <v>41.29</v>
      </c>
      <c r="W77" s="6">
        <v>46.53</v>
      </c>
      <c r="X77" s="6">
        <v>36.380000000000003</v>
      </c>
      <c r="Y77" s="6">
        <v>34.880000000000003</v>
      </c>
      <c r="Z77" s="6">
        <v>46.17</v>
      </c>
      <c r="AA77" s="6">
        <v>47.9</v>
      </c>
      <c r="AB77" s="6">
        <v>44.63</v>
      </c>
      <c r="AC77" s="6">
        <v>39.85</v>
      </c>
      <c r="AD77" s="6">
        <v>37.31</v>
      </c>
      <c r="AE77" s="6">
        <v>46.21</v>
      </c>
      <c r="AF77" s="6">
        <v>41.56</v>
      </c>
      <c r="AG77" s="6">
        <v>40.049999999999997</v>
      </c>
      <c r="AH77" s="6">
        <v>46.19</v>
      </c>
      <c r="AI77" s="6">
        <v>32.520000000000003</v>
      </c>
      <c r="AJ77" s="6">
        <v>33.4</v>
      </c>
      <c r="AK77" s="6">
        <v>44.82</v>
      </c>
      <c r="AL77" s="6">
        <v>47.36</v>
      </c>
      <c r="AM77" s="6">
        <v>44.57</v>
      </c>
      <c r="AN77" s="6">
        <v>44.5</v>
      </c>
      <c r="AO77" s="6">
        <v>40.15</v>
      </c>
      <c r="AP77" s="6">
        <v>48.28</v>
      </c>
      <c r="AQ77" s="6">
        <v>42.96</v>
      </c>
      <c r="AR77" s="6">
        <v>43.97</v>
      </c>
      <c r="AS77" s="6">
        <v>48.67</v>
      </c>
      <c r="AT77" s="6">
        <v>35.79</v>
      </c>
      <c r="AU77" s="6">
        <v>35.14</v>
      </c>
      <c r="AV77" s="6">
        <v>44.46</v>
      </c>
      <c r="AW77" s="6">
        <v>46.97</v>
      </c>
      <c r="AX77" s="6">
        <v>44.01</v>
      </c>
      <c r="AY77" s="6">
        <v>43.35</v>
      </c>
      <c r="AZ77" s="6">
        <v>38.26</v>
      </c>
      <c r="BA77" s="6">
        <v>48.61</v>
      </c>
      <c r="BB77" s="6">
        <v>40.299999999999997</v>
      </c>
      <c r="BC77" s="6">
        <v>41.35</v>
      </c>
      <c r="BD77" s="6">
        <v>47.59</v>
      </c>
      <c r="BE77" s="6">
        <v>34.42</v>
      </c>
      <c r="BF77" s="6">
        <v>34.4</v>
      </c>
      <c r="BG77" s="6">
        <v>44.56</v>
      </c>
      <c r="BH77" s="6">
        <v>47.54</v>
      </c>
      <c r="BI77" s="6">
        <v>43.43</v>
      </c>
      <c r="BJ77" s="6">
        <v>39.299999999999997</v>
      </c>
      <c r="BK77" s="6">
        <v>37.75</v>
      </c>
      <c r="BL77" s="6">
        <v>48.06</v>
      </c>
      <c r="BM77" s="6">
        <v>40.729999999999997</v>
      </c>
      <c r="BN77" s="6">
        <v>41.94</v>
      </c>
      <c r="BO77" s="6">
        <v>48.42</v>
      </c>
      <c r="BP77">
        <f t="shared" si="1"/>
        <v>42.209848484848429</v>
      </c>
      <c r="BQ77" s="12">
        <v>0.73611111111111116</v>
      </c>
    </row>
    <row r="78" spans="1:69" ht="17.5" thickBot="1" x14ac:dyDescent="0.5">
      <c r="A78" s="5">
        <v>77</v>
      </c>
      <c r="B78" s="6">
        <v>36.68</v>
      </c>
      <c r="C78" s="6">
        <v>34.89</v>
      </c>
      <c r="D78" s="6">
        <v>46.88</v>
      </c>
      <c r="E78" s="6">
        <v>47.75</v>
      </c>
      <c r="F78" s="6">
        <v>45.5</v>
      </c>
      <c r="G78" s="6">
        <v>39.58</v>
      </c>
      <c r="H78" s="6">
        <v>38.58</v>
      </c>
      <c r="I78" s="6">
        <v>48.76</v>
      </c>
      <c r="J78" s="6">
        <v>42.2</v>
      </c>
      <c r="K78" s="6">
        <v>41.29</v>
      </c>
      <c r="L78" s="6">
        <v>46.53</v>
      </c>
      <c r="M78" s="6">
        <v>36.380000000000003</v>
      </c>
      <c r="N78" s="6">
        <v>34.880000000000003</v>
      </c>
      <c r="O78" s="6">
        <v>46.17</v>
      </c>
      <c r="P78" s="6">
        <v>47.9</v>
      </c>
      <c r="Q78" s="6">
        <v>44.63</v>
      </c>
      <c r="R78" s="6">
        <v>39.85</v>
      </c>
      <c r="S78" s="6">
        <v>37.31</v>
      </c>
      <c r="T78" s="6">
        <v>46.21</v>
      </c>
      <c r="U78" s="6">
        <v>41.56</v>
      </c>
      <c r="V78" s="6">
        <v>40.049999999999997</v>
      </c>
      <c r="W78" s="6">
        <v>46.19</v>
      </c>
      <c r="X78" s="6">
        <v>32.520000000000003</v>
      </c>
      <c r="Y78" s="6">
        <v>33.4</v>
      </c>
      <c r="Z78" s="6">
        <v>44.82</v>
      </c>
      <c r="AA78" s="6">
        <v>47.36</v>
      </c>
      <c r="AB78" s="6">
        <v>44.57</v>
      </c>
      <c r="AC78" s="6">
        <v>44.5</v>
      </c>
      <c r="AD78" s="6">
        <v>40.15</v>
      </c>
      <c r="AE78" s="6">
        <v>48.28</v>
      </c>
      <c r="AF78" s="6">
        <v>42.96</v>
      </c>
      <c r="AG78" s="6">
        <v>43.97</v>
      </c>
      <c r="AH78" s="6">
        <v>48.67</v>
      </c>
      <c r="AI78" s="6">
        <v>35.79</v>
      </c>
      <c r="AJ78" s="6">
        <v>35.14</v>
      </c>
      <c r="AK78" s="6">
        <v>44.46</v>
      </c>
      <c r="AL78" s="6">
        <v>46.97</v>
      </c>
      <c r="AM78" s="6">
        <v>44.01</v>
      </c>
      <c r="AN78" s="6">
        <v>43.35</v>
      </c>
      <c r="AO78" s="6">
        <v>38.26</v>
      </c>
      <c r="AP78" s="6">
        <v>48.61</v>
      </c>
      <c r="AQ78" s="6">
        <v>40.299999999999997</v>
      </c>
      <c r="AR78" s="6">
        <v>41.35</v>
      </c>
      <c r="AS78" s="6">
        <v>47.59</v>
      </c>
      <c r="AT78" s="6">
        <v>34.42</v>
      </c>
      <c r="AU78" s="6">
        <v>34.4</v>
      </c>
      <c r="AV78" s="6">
        <v>44.56</v>
      </c>
      <c r="AW78" s="6">
        <v>47.54</v>
      </c>
      <c r="AX78" s="6">
        <v>43.43</v>
      </c>
      <c r="AY78" s="6">
        <v>39.299999999999997</v>
      </c>
      <c r="AZ78" s="6">
        <v>37.75</v>
      </c>
      <c r="BA78" s="6">
        <v>48.06</v>
      </c>
      <c r="BB78" s="6">
        <v>40.729999999999997</v>
      </c>
      <c r="BC78" s="6">
        <v>41.94</v>
      </c>
      <c r="BD78" s="6">
        <v>48.42</v>
      </c>
      <c r="BE78" s="6">
        <v>35.65</v>
      </c>
      <c r="BF78" s="6">
        <v>36.61</v>
      </c>
      <c r="BG78" s="6">
        <v>43.43</v>
      </c>
      <c r="BH78" s="6">
        <v>45.06</v>
      </c>
      <c r="BI78" s="6">
        <v>45.15</v>
      </c>
      <c r="BJ78" s="6">
        <v>42.48</v>
      </c>
      <c r="BK78" s="6">
        <v>39.4</v>
      </c>
      <c r="BL78" s="6">
        <v>48.32</v>
      </c>
      <c r="BM78" s="6">
        <v>41.26</v>
      </c>
      <c r="BN78" s="6">
        <v>42.23</v>
      </c>
      <c r="BO78" s="6">
        <v>48.63</v>
      </c>
      <c r="BP78">
        <f t="shared" si="1"/>
        <v>42.241414141414104</v>
      </c>
      <c r="BQ78" s="12">
        <v>0.74305555555555547</v>
      </c>
    </row>
    <row r="79" spans="1:69" ht="17.5" thickBot="1" x14ac:dyDescent="0.5">
      <c r="A79" s="5">
        <v>78</v>
      </c>
      <c r="B79" s="6">
        <v>36.380000000000003</v>
      </c>
      <c r="C79" s="6">
        <v>34.880000000000003</v>
      </c>
      <c r="D79" s="6">
        <v>46.17</v>
      </c>
      <c r="E79" s="6">
        <v>47.9</v>
      </c>
      <c r="F79" s="6">
        <v>44.63</v>
      </c>
      <c r="G79" s="6">
        <v>39.85</v>
      </c>
      <c r="H79" s="6">
        <v>37.31</v>
      </c>
      <c r="I79" s="6">
        <v>46.21</v>
      </c>
      <c r="J79" s="6">
        <v>41.56</v>
      </c>
      <c r="K79" s="6">
        <v>40.049999999999997</v>
      </c>
      <c r="L79" s="6">
        <v>46.19</v>
      </c>
      <c r="M79" s="6">
        <v>32.520000000000003</v>
      </c>
      <c r="N79" s="6">
        <v>33.4</v>
      </c>
      <c r="O79" s="6">
        <v>44.82</v>
      </c>
      <c r="P79" s="6">
        <v>47.36</v>
      </c>
      <c r="Q79" s="6">
        <v>44.57</v>
      </c>
      <c r="R79" s="6">
        <v>44.5</v>
      </c>
      <c r="S79" s="6">
        <v>40.15</v>
      </c>
      <c r="T79" s="6">
        <v>48.28</v>
      </c>
      <c r="U79" s="6">
        <v>42.96</v>
      </c>
      <c r="V79" s="6">
        <v>43.97</v>
      </c>
      <c r="W79" s="6">
        <v>48.67</v>
      </c>
      <c r="X79" s="6">
        <v>35.79</v>
      </c>
      <c r="Y79" s="6">
        <v>35.14</v>
      </c>
      <c r="Z79" s="6">
        <v>44.46</v>
      </c>
      <c r="AA79" s="6">
        <v>46.97</v>
      </c>
      <c r="AB79" s="6">
        <v>44.01</v>
      </c>
      <c r="AC79" s="6">
        <v>43.35</v>
      </c>
      <c r="AD79" s="6">
        <v>38.26</v>
      </c>
      <c r="AE79" s="6">
        <v>48.61</v>
      </c>
      <c r="AF79" s="6">
        <v>40.299999999999997</v>
      </c>
      <c r="AG79" s="6">
        <v>41.35</v>
      </c>
      <c r="AH79" s="6">
        <v>47.59</v>
      </c>
      <c r="AI79" s="6">
        <v>34.42</v>
      </c>
      <c r="AJ79" s="6">
        <v>34.4</v>
      </c>
      <c r="AK79" s="6">
        <v>44.56</v>
      </c>
      <c r="AL79" s="6">
        <v>47.54</v>
      </c>
      <c r="AM79" s="6">
        <v>43.43</v>
      </c>
      <c r="AN79" s="6">
        <v>39.299999999999997</v>
      </c>
      <c r="AO79" s="6">
        <v>37.75</v>
      </c>
      <c r="AP79" s="6">
        <v>48.06</v>
      </c>
      <c r="AQ79" s="6">
        <v>40.729999999999997</v>
      </c>
      <c r="AR79" s="6">
        <v>41.94</v>
      </c>
      <c r="AS79" s="6">
        <v>48.42</v>
      </c>
      <c r="AT79" s="6">
        <v>35.65</v>
      </c>
      <c r="AU79" s="6">
        <v>36.61</v>
      </c>
      <c r="AV79" s="6">
        <v>43.43</v>
      </c>
      <c r="AW79" s="6">
        <v>45.06</v>
      </c>
      <c r="AX79" s="6">
        <v>45.15</v>
      </c>
      <c r="AY79" s="6">
        <v>42.48</v>
      </c>
      <c r="AZ79" s="6">
        <v>39.4</v>
      </c>
      <c r="BA79" s="6">
        <v>48.32</v>
      </c>
      <c r="BB79" s="6">
        <v>41.26</v>
      </c>
      <c r="BC79" s="6">
        <v>42.23</v>
      </c>
      <c r="BD79" s="6">
        <v>48.63</v>
      </c>
      <c r="BE79" s="6">
        <v>33.97</v>
      </c>
      <c r="BF79" s="6">
        <v>35.270000000000003</v>
      </c>
      <c r="BG79" s="6">
        <v>45.88</v>
      </c>
      <c r="BH79" s="6">
        <v>47.2</v>
      </c>
      <c r="BI79" s="6">
        <v>44.9</v>
      </c>
      <c r="BJ79" s="6">
        <v>44.99</v>
      </c>
      <c r="BK79" s="6">
        <v>38.24</v>
      </c>
      <c r="BL79" s="6">
        <v>48.68</v>
      </c>
      <c r="BM79" s="6">
        <v>40.93</v>
      </c>
      <c r="BN79" s="6">
        <v>44.27</v>
      </c>
      <c r="BO79" s="6">
        <v>48.07</v>
      </c>
      <c r="BP79">
        <f t="shared" si="1"/>
        <v>42.291919191919149</v>
      </c>
      <c r="BQ79" s="12">
        <v>0.75</v>
      </c>
    </row>
    <row r="80" spans="1:69" ht="17.5" thickBot="1" x14ac:dyDescent="0.5">
      <c r="A80" s="5">
        <v>79</v>
      </c>
      <c r="B80" s="6">
        <v>32.520000000000003</v>
      </c>
      <c r="C80" s="6">
        <v>33.4</v>
      </c>
      <c r="D80" s="6">
        <v>44.82</v>
      </c>
      <c r="E80" s="6">
        <v>47.36</v>
      </c>
      <c r="F80" s="6">
        <v>44.57</v>
      </c>
      <c r="G80" s="6">
        <v>44.5</v>
      </c>
      <c r="H80" s="6">
        <v>40.15</v>
      </c>
      <c r="I80" s="6">
        <v>48.28</v>
      </c>
      <c r="J80" s="6">
        <v>42.96</v>
      </c>
      <c r="K80" s="6">
        <v>43.97</v>
      </c>
      <c r="L80" s="6">
        <v>48.67</v>
      </c>
      <c r="M80" s="6">
        <v>35.79</v>
      </c>
      <c r="N80" s="6">
        <v>35.14</v>
      </c>
      <c r="O80" s="6">
        <v>44.46</v>
      </c>
      <c r="P80" s="6">
        <v>46.97</v>
      </c>
      <c r="Q80" s="6">
        <v>44.01</v>
      </c>
      <c r="R80" s="6">
        <v>43.35</v>
      </c>
      <c r="S80" s="6">
        <v>38.26</v>
      </c>
      <c r="T80" s="6">
        <v>48.61</v>
      </c>
      <c r="U80" s="6">
        <v>40.299999999999997</v>
      </c>
      <c r="V80" s="6">
        <v>41.35</v>
      </c>
      <c r="W80" s="6">
        <v>47.59</v>
      </c>
      <c r="X80" s="6">
        <v>34.42</v>
      </c>
      <c r="Y80" s="6">
        <v>34.4</v>
      </c>
      <c r="Z80" s="6">
        <v>44.56</v>
      </c>
      <c r="AA80" s="6">
        <v>47.54</v>
      </c>
      <c r="AB80" s="6">
        <v>43.43</v>
      </c>
      <c r="AC80" s="6">
        <v>39.299999999999997</v>
      </c>
      <c r="AD80" s="6">
        <v>37.75</v>
      </c>
      <c r="AE80" s="6">
        <v>48.06</v>
      </c>
      <c r="AF80" s="6">
        <v>40.729999999999997</v>
      </c>
      <c r="AG80" s="6">
        <v>41.94</v>
      </c>
      <c r="AH80" s="6">
        <v>48.42</v>
      </c>
      <c r="AI80" s="6">
        <v>35.65</v>
      </c>
      <c r="AJ80" s="6">
        <v>36.61</v>
      </c>
      <c r="AK80" s="6">
        <v>43.43</v>
      </c>
      <c r="AL80" s="6">
        <v>45.06</v>
      </c>
      <c r="AM80" s="6">
        <v>45.15</v>
      </c>
      <c r="AN80" s="6">
        <v>42.48</v>
      </c>
      <c r="AO80" s="6">
        <v>39.4</v>
      </c>
      <c r="AP80" s="6">
        <v>48.32</v>
      </c>
      <c r="AQ80" s="6">
        <v>41.26</v>
      </c>
      <c r="AR80" s="6">
        <v>42.23</v>
      </c>
      <c r="AS80" s="6">
        <v>48.63</v>
      </c>
      <c r="AT80" s="6">
        <v>33.97</v>
      </c>
      <c r="AU80" s="6">
        <v>35.270000000000003</v>
      </c>
      <c r="AV80" s="6">
        <v>45.88</v>
      </c>
      <c r="AW80" s="6">
        <v>47.2</v>
      </c>
      <c r="AX80" s="6">
        <v>44.9</v>
      </c>
      <c r="AY80" s="6">
        <v>44.99</v>
      </c>
      <c r="AZ80" s="6">
        <v>38.24</v>
      </c>
      <c r="BA80" s="6">
        <v>48.68</v>
      </c>
      <c r="BB80" s="6">
        <v>40.93</v>
      </c>
      <c r="BC80" s="6">
        <v>44.27</v>
      </c>
      <c r="BD80" s="6">
        <v>48.07</v>
      </c>
      <c r="BE80" s="6">
        <v>34.39</v>
      </c>
      <c r="BF80" s="6">
        <v>33.96</v>
      </c>
      <c r="BG80" s="6">
        <v>43.88</v>
      </c>
      <c r="BH80" s="6">
        <v>46.03</v>
      </c>
      <c r="BI80" s="6">
        <v>43.91</v>
      </c>
      <c r="BJ80" s="6">
        <v>44.49</v>
      </c>
      <c r="BK80" s="6">
        <v>38.549999999999997</v>
      </c>
      <c r="BL80" s="6">
        <v>48.4</v>
      </c>
      <c r="BM80" s="6">
        <v>41</v>
      </c>
      <c r="BN80" s="6">
        <v>44.01</v>
      </c>
      <c r="BO80" s="6">
        <v>49.04</v>
      </c>
      <c r="BP80">
        <f t="shared" si="1"/>
        <v>42.352904040403992</v>
      </c>
      <c r="BQ80" s="12">
        <v>0.75694444444444453</v>
      </c>
    </row>
    <row r="81" spans="1:69" ht="17.5" thickBot="1" x14ac:dyDescent="0.5">
      <c r="A81" s="5">
        <v>80</v>
      </c>
      <c r="B81" s="6">
        <v>35.79</v>
      </c>
      <c r="C81" s="6">
        <v>35.14</v>
      </c>
      <c r="D81" s="6">
        <v>44.46</v>
      </c>
      <c r="E81" s="6">
        <v>46.97</v>
      </c>
      <c r="F81" s="6">
        <v>44.01</v>
      </c>
      <c r="G81" s="6">
        <v>43.35</v>
      </c>
      <c r="H81" s="6">
        <v>38.26</v>
      </c>
      <c r="I81" s="6">
        <v>48.61</v>
      </c>
      <c r="J81" s="6">
        <v>40.299999999999997</v>
      </c>
      <c r="K81" s="6">
        <v>41.35</v>
      </c>
      <c r="L81" s="6">
        <v>47.59</v>
      </c>
      <c r="M81" s="6">
        <v>34.42</v>
      </c>
      <c r="N81" s="6">
        <v>34.4</v>
      </c>
      <c r="O81" s="6">
        <v>44.56</v>
      </c>
      <c r="P81" s="6">
        <v>47.54</v>
      </c>
      <c r="Q81" s="6">
        <v>43.43</v>
      </c>
      <c r="R81" s="6">
        <v>39.299999999999997</v>
      </c>
      <c r="S81" s="6">
        <v>37.75</v>
      </c>
      <c r="T81" s="6">
        <v>48.06</v>
      </c>
      <c r="U81" s="6">
        <v>40.729999999999997</v>
      </c>
      <c r="V81" s="6">
        <v>41.94</v>
      </c>
      <c r="W81" s="6">
        <v>48.42</v>
      </c>
      <c r="X81" s="6">
        <v>35.65</v>
      </c>
      <c r="Y81" s="6">
        <v>36.61</v>
      </c>
      <c r="Z81" s="6">
        <v>43.43</v>
      </c>
      <c r="AA81" s="6">
        <v>45.06</v>
      </c>
      <c r="AB81" s="6">
        <v>45.15</v>
      </c>
      <c r="AC81" s="6">
        <v>42.48</v>
      </c>
      <c r="AD81" s="6">
        <v>39.4</v>
      </c>
      <c r="AE81" s="6">
        <v>48.32</v>
      </c>
      <c r="AF81" s="6">
        <v>41.26</v>
      </c>
      <c r="AG81" s="6">
        <v>42.23</v>
      </c>
      <c r="AH81" s="6">
        <v>48.63</v>
      </c>
      <c r="AI81" s="6">
        <v>33.97</v>
      </c>
      <c r="AJ81" s="6">
        <v>35.270000000000003</v>
      </c>
      <c r="AK81" s="6">
        <v>45.88</v>
      </c>
      <c r="AL81" s="6">
        <v>47.2</v>
      </c>
      <c r="AM81" s="6">
        <v>44.9</v>
      </c>
      <c r="AN81" s="6">
        <v>44.99</v>
      </c>
      <c r="AO81" s="6">
        <v>38.24</v>
      </c>
      <c r="AP81" s="6">
        <v>48.68</v>
      </c>
      <c r="AQ81" s="6">
        <v>40.93</v>
      </c>
      <c r="AR81" s="6">
        <v>44.27</v>
      </c>
      <c r="AS81" s="6">
        <v>48.07</v>
      </c>
      <c r="AT81" s="6">
        <v>34.39</v>
      </c>
      <c r="AU81" s="6">
        <v>33.96</v>
      </c>
      <c r="AV81" s="6">
        <v>43.88</v>
      </c>
      <c r="AW81" s="6">
        <v>46.03</v>
      </c>
      <c r="AX81" s="6">
        <v>43.91</v>
      </c>
      <c r="AY81" s="6">
        <v>44.49</v>
      </c>
      <c r="AZ81" s="6">
        <v>38.549999999999997</v>
      </c>
      <c r="BA81" s="6">
        <v>48.4</v>
      </c>
      <c r="BB81" s="6">
        <v>41</v>
      </c>
      <c r="BC81" s="6">
        <v>44.01</v>
      </c>
      <c r="BD81" s="6">
        <v>49.04</v>
      </c>
      <c r="BE81" s="6">
        <v>34.22</v>
      </c>
      <c r="BF81" s="6">
        <v>34.92</v>
      </c>
      <c r="BG81" s="6">
        <v>43.11</v>
      </c>
      <c r="BH81" s="6">
        <v>43.97</v>
      </c>
      <c r="BI81" s="6">
        <v>41.53</v>
      </c>
      <c r="BJ81" s="6">
        <v>40.96</v>
      </c>
      <c r="BK81" s="6">
        <v>36.380000000000003</v>
      </c>
      <c r="BL81" s="6">
        <v>48.05</v>
      </c>
      <c r="BM81" s="6">
        <v>41.54</v>
      </c>
      <c r="BN81" s="6">
        <v>43.22</v>
      </c>
      <c r="BO81" s="6">
        <v>48.4</v>
      </c>
      <c r="BP81">
        <f t="shared" si="1"/>
        <v>42.362828282828239</v>
      </c>
      <c r="BQ81" s="12">
        <v>0.76388888888888884</v>
      </c>
    </row>
    <row r="82" spans="1:69" ht="17.5" thickBot="1" x14ac:dyDescent="0.5">
      <c r="A82" s="5">
        <v>81</v>
      </c>
      <c r="B82" s="6">
        <v>34.42</v>
      </c>
      <c r="C82" s="6">
        <v>34.4</v>
      </c>
      <c r="D82" s="6">
        <v>44.56</v>
      </c>
      <c r="E82" s="6">
        <v>47.54</v>
      </c>
      <c r="F82" s="6">
        <v>43.43</v>
      </c>
      <c r="G82" s="6">
        <v>39.299999999999997</v>
      </c>
      <c r="H82" s="6">
        <v>37.75</v>
      </c>
      <c r="I82" s="6">
        <v>48.06</v>
      </c>
      <c r="J82" s="6">
        <v>40.729999999999997</v>
      </c>
      <c r="K82" s="6">
        <v>41.94</v>
      </c>
      <c r="L82" s="6">
        <v>48.42</v>
      </c>
      <c r="M82" s="6">
        <v>35.65</v>
      </c>
      <c r="N82" s="6">
        <v>36.61</v>
      </c>
      <c r="O82" s="6">
        <v>43.43</v>
      </c>
      <c r="P82" s="6">
        <v>45.06</v>
      </c>
      <c r="Q82" s="6">
        <v>45.15</v>
      </c>
      <c r="R82" s="6">
        <v>42.48</v>
      </c>
      <c r="S82" s="6">
        <v>39.4</v>
      </c>
      <c r="T82" s="6">
        <v>48.32</v>
      </c>
      <c r="U82" s="6">
        <v>41.26</v>
      </c>
      <c r="V82" s="6">
        <v>42.23</v>
      </c>
      <c r="W82" s="6">
        <v>48.63</v>
      </c>
      <c r="X82" s="6">
        <v>33.97</v>
      </c>
      <c r="Y82" s="6">
        <v>35.270000000000003</v>
      </c>
      <c r="Z82" s="6">
        <v>45.88</v>
      </c>
      <c r="AA82" s="6">
        <v>47.2</v>
      </c>
      <c r="AB82" s="6">
        <v>44.9</v>
      </c>
      <c r="AC82" s="6">
        <v>44.99</v>
      </c>
      <c r="AD82" s="6">
        <v>38.24</v>
      </c>
      <c r="AE82" s="6">
        <v>48.68</v>
      </c>
      <c r="AF82" s="6">
        <v>40.93</v>
      </c>
      <c r="AG82" s="6">
        <v>44.27</v>
      </c>
      <c r="AH82" s="6">
        <v>48.07</v>
      </c>
      <c r="AI82" s="6">
        <v>34.39</v>
      </c>
      <c r="AJ82" s="6">
        <v>33.96</v>
      </c>
      <c r="AK82" s="6">
        <v>43.88</v>
      </c>
      <c r="AL82" s="6">
        <v>46.03</v>
      </c>
      <c r="AM82" s="6">
        <v>43.91</v>
      </c>
      <c r="AN82" s="6">
        <v>44.49</v>
      </c>
      <c r="AO82" s="6">
        <v>38.549999999999997</v>
      </c>
      <c r="AP82" s="6">
        <v>48.4</v>
      </c>
      <c r="AQ82" s="6">
        <v>41</v>
      </c>
      <c r="AR82" s="6">
        <v>44.01</v>
      </c>
      <c r="AS82" s="6">
        <v>49.04</v>
      </c>
      <c r="AT82" s="6">
        <v>34.22</v>
      </c>
      <c r="AU82" s="6">
        <v>34.92</v>
      </c>
      <c r="AV82" s="6">
        <v>43.11</v>
      </c>
      <c r="AW82" s="6">
        <v>43.97</v>
      </c>
      <c r="AX82" s="6">
        <v>41.53</v>
      </c>
      <c r="AY82" s="6">
        <v>40.96</v>
      </c>
      <c r="AZ82" s="6">
        <v>36.380000000000003</v>
      </c>
      <c r="BA82" s="6">
        <v>48.05</v>
      </c>
      <c r="BB82" s="6">
        <v>41.54</v>
      </c>
      <c r="BC82" s="6">
        <v>43.22</v>
      </c>
      <c r="BD82" s="6">
        <v>48.4</v>
      </c>
      <c r="BE82" s="6">
        <v>36.119999999999997</v>
      </c>
      <c r="BF82" s="6">
        <v>38.26</v>
      </c>
      <c r="BG82" s="6">
        <v>44.41</v>
      </c>
      <c r="BH82" s="6">
        <v>45.79</v>
      </c>
      <c r="BI82" s="6">
        <v>45.1</v>
      </c>
      <c r="BJ82" s="6">
        <v>43.1</v>
      </c>
      <c r="BK82" s="6">
        <v>36.93</v>
      </c>
      <c r="BL82" s="6">
        <v>49.16</v>
      </c>
      <c r="BM82" s="6">
        <v>40.36</v>
      </c>
      <c r="BN82" s="6">
        <v>43.5</v>
      </c>
      <c r="BO82" s="6">
        <v>49.31</v>
      </c>
      <c r="BP82">
        <f t="shared" si="1"/>
        <v>42.361893939393894</v>
      </c>
      <c r="BQ82" s="12">
        <v>0.77083333333333337</v>
      </c>
    </row>
    <row r="83" spans="1:69" ht="17.5" thickBot="1" x14ac:dyDescent="0.5">
      <c r="A83" s="5">
        <v>82</v>
      </c>
      <c r="B83" s="6">
        <v>35.65</v>
      </c>
      <c r="C83" s="6">
        <v>36.61</v>
      </c>
      <c r="D83" s="6">
        <v>43.43</v>
      </c>
      <c r="E83" s="6">
        <v>45.06</v>
      </c>
      <c r="F83" s="6">
        <v>45.15</v>
      </c>
      <c r="G83" s="6">
        <v>42.48</v>
      </c>
      <c r="H83" s="6">
        <v>39.4</v>
      </c>
      <c r="I83" s="6">
        <v>48.32</v>
      </c>
      <c r="J83" s="6">
        <v>41.26</v>
      </c>
      <c r="K83" s="6">
        <v>42.23</v>
      </c>
      <c r="L83" s="6">
        <v>48.63</v>
      </c>
      <c r="M83" s="6">
        <v>33.97</v>
      </c>
      <c r="N83" s="6">
        <v>35.270000000000003</v>
      </c>
      <c r="O83" s="6">
        <v>45.88</v>
      </c>
      <c r="P83" s="6">
        <v>47.2</v>
      </c>
      <c r="Q83" s="6">
        <v>44.9</v>
      </c>
      <c r="R83" s="6">
        <v>44.99</v>
      </c>
      <c r="S83" s="6">
        <v>38.24</v>
      </c>
      <c r="T83" s="6">
        <v>48.68</v>
      </c>
      <c r="U83" s="6">
        <v>40.93</v>
      </c>
      <c r="V83" s="6">
        <v>44.27</v>
      </c>
      <c r="W83" s="6">
        <v>48.07</v>
      </c>
      <c r="X83" s="6">
        <v>34.39</v>
      </c>
      <c r="Y83" s="6">
        <v>33.96</v>
      </c>
      <c r="Z83" s="6">
        <v>43.88</v>
      </c>
      <c r="AA83" s="6">
        <v>46.03</v>
      </c>
      <c r="AB83" s="6">
        <v>43.91</v>
      </c>
      <c r="AC83" s="6">
        <v>44.49</v>
      </c>
      <c r="AD83" s="6">
        <v>38.549999999999997</v>
      </c>
      <c r="AE83" s="6">
        <v>48.4</v>
      </c>
      <c r="AF83" s="6">
        <v>41</v>
      </c>
      <c r="AG83" s="6">
        <v>44.01</v>
      </c>
      <c r="AH83" s="6">
        <v>49.04</v>
      </c>
      <c r="AI83" s="6">
        <v>34.22</v>
      </c>
      <c r="AJ83" s="6">
        <v>34.92</v>
      </c>
      <c r="AK83" s="6">
        <v>43.11</v>
      </c>
      <c r="AL83" s="6">
        <v>43.97</v>
      </c>
      <c r="AM83" s="6">
        <v>41.53</v>
      </c>
      <c r="AN83" s="6">
        <v>40.96</v>
      </c>
      <c r="AO83" s="6">
        <v>36.380000000000003</v>
      </c>
      <c r="AP83" s="6">
        <v>48.05</v>
      </c>
      <c r="AQ83" s="6">
        <v>41.54</v>
      </c>
      <c r="AR83" s="6">
        <v>43.22</v>
      </c>
      <c r="AS83" s="6">
        <v>48.4</v>
      </c>
      <c r="AT83" s="6">
        <v>36.119999999999997</v>
      </c>
      <c r="AU83" s="6">
        <v>38.26</v>
      </c>
      <c r="AV83" s="6">
        <v>44.41</v>
      </c>
      <c r="AW83" s="6">
        <v>45.79</v>
      </c>
      <c r="AX83" s="6">
        <v>45.1</v>
      </c>
      <c r="AY83" s="6">
        <v>43.1</v>
      </c>
      <c r="AZ83" s="6">
        <v>36.93</v>
      </c>
      <c r="BA83" s="6">
        <v>49.16</v>
      </c>
      <c r="BB83" s="6">
        <v>40.36</v>
      </c>
      <c r="BC83" s="6">
        <v>43.5</v>
      </c>
      <c r="BD83" s="6">
        <v>49.31</v>
      </c>
      <c r="BE83" s="6">
        <v>34.28</v>
      </c>
      <c r="BF83" s="6">
        <v>33.229999999999997</v>
      </c>
      <c r="BG83" s="6">
        <v>42.24</v>
      </c>
      <c r="BH83" s="6">
        <v>44.58</v>
      </c>
      <c r="BI83" s="6">
        <v>43.22</v>
      </c>
      <c r="BJ83" s="6">
        <v>42.84</v>
      </c>
      <c r="BK83" s="6">
        <v>36.78</v>
      </c>
      <c r="BL83" s="6">
        <v>49.93</v>
      </c>
      <c r="BM83" s="6">
        <v>40.85</v>
      </c>
      <c r="BN83" s="6">
        <v>40.909999999999997</v>
      </c>
      <c r="BO83" s="6">
        <v>50.02</v>
      </c>
      <c r="BP83">
        <f t="shared" si="1"/>
        <v>42.384823232323207</v>
      </c>
      <c r="BQ83" s="12">
        <v>0.77777777777777779</v>
      </c>
    </row>
    <row r="84" spans="1:69" ht="17.5" thickBot="1" x14ac:dyDescent="0.5">
      <c r="A84" s="5">
        <v>83</v>
      </c>
      <c r="B84" s="6">
        <v>33.97</v>
      </c>
      <c r="C84" s="6">
        <v>35.270000000000003</v>
      </c>
      <c r="D84" s="6">
        <v>45.88</v>
      </c>
      <c r="E84" s="6">
        <v>47.2</v>
      </c>
      <c r="F84" s="6">
        <v>44.9</v>
      </c>
      <c r="G84" s="6">
        <v>44.99</v>
      </c>
      <c r="H84" s="6">
        <v>38.24</v>
      </c>
      <c r="I84" s="6">
        <v>48.68</v>
      </c>
      <c r="J84" s="6">
        <v>40.93</v>
      </c>
      <c r="K84" s="6">
        <v>44.27</v>
      </c>
      <c r="L84" s="6">
        <v>48.07</v>
      </c>
      <c r="M84" s="6">
        <v>34.39</v>
      </c>
      <c r="N84" s="6">
        <v>33.96</v>
      </c>
      <c r="O84" s="6">
        <v>43.88</v>
      </c>
      <c r="P84" s="6">
        <v>46.03</v>
      </c>
      <c r="Q84" s="6">
        <v>43.91</v>
      </c>
      <c r="R84" s="6">
        <v>44.49</v>
      </c>
      <c r="S84" s="6">
        <v>38.549999999999997</v>
      </c>
      <c r="T84" s="6">
        <v>48.4</v>
      </c>
      <c r="U84" s="6">
        <v>41</v>
      </c>
      <c r="V84" s="6">
        <v>44.01</v>
      </c>
      <c r="W84" s="6">
        <v>49.04</v>
      </c>
      <c r="X84" s="6">
        <v>34.22</v>
      </c>
      <c r="Y84" s="6">
        <v>34.92</v>
      </c>
      <c r="Z84" s="6">
        <v>43.11</v>
      </c>
      <c r="AA84" s="6">
        <v>43.97</v>
      </c>
      <c r="AB84" s="6">
        <v>41.53</v>
      </c>
      <c r="AC84" s="6">
        <v>40.96</v>
      </c>
      <c r="AD84" s="6">
        <v>36.380000000000003</v>
      </c>
      <c r="AE84" s="6">
        <v>48.05</v>
      </c>
      <c r="AF84" s="6">
        <v>41.54</v>
      </c>
      <c r="AG84" s="6">
        <v>43.22</v>
      </c>
      <c r="AH84" s="6">
        <v>48.4</v>
      </c>
      <c r="AI84" s="6">
        <v>36.119999999999997</v>
      </c>
      <c r="AJ84" s="6">
        <v>38.26</v>
      </c>
      <c r="AK84" s="6">
        <v>44.41</v>
      </c>
      <c r="AL84" s="6">
        <v>45.79</v>
      </c>
      <c r="AM84" s="6">
        <v>45.1</v>
      </c>
      <c r="AN84" s="6">
        <v>43.1</v>
      </c>
      <c r="AO84" s="6">
        <v>36.93</v>
      </c>
      <c r="AP84" s="6">
        <v>49.16</v>
      </c>
      <c r="AQ84" s="6">
        <v>40.36</v>
      </c>
      <c r="AR84" s="6">
        <v>43.5</v>
      </c>
      <c r="AS84" s="6">
        <v>49.31</v>
      </c>
      <c r="AT84" s="6">
        <v>34.28</v>
      </c>
      <c r="AU84" s="6">
        <v>33.229999999999997</v>
      </c>
      <c r="AV84" s="6">
        <v>42.24</v>
      </c>
      <c r="AW84" s="6">
        <v>44.58</v>
      </c>
      <c r="AX84" s="6">
        <v>43.22</v>
      </c>
      <c r="AY84" s="6">
        <v>42.84</v>
      </c>
      <c r="AZ84" s="6">
        <v>36.78</v>
      </c>
      <c r="BA84" s="6">
        <v>49.93</v>
      </c>
      <c r="BB84" s="6">
        <v>40.85</v>
      </c>
      <c r="BC84" s="6">
        <v>40.909999999999997</v>
      </c>
      <c r="BD84" s="6">
        <v>50.02</v>
      </c>
      <c r="BE84" s="6">
        <v>35.81</v>
      </c>
      <c r="BF84" s="6">
        <v>36.130000000000003</v>
      </c>
      <c r="BG84" s="6">
        <v>44.91</v>
      </c>
      <c r="BH84" s="6">
        <v>45.48</v>
      </c>
      <c r="BI84" s="6">
        <v>45.39</v>
      </c>
      <c r="BJ84" s="6">
        <v>43.01</v>
      </c>
      <c r="BK84" s="6">
        <v>38.979999999999997</v>
      </c>
      <c r="BL84" s="6">
        <v>50.75</v>
      </c>
      <c r="BM84" s="6">
        <v>42.86</v>
      </c>
      <c r="BN84" s="6">
        <v>45.11</v>
      </c>
      <c r="BO84" s="6">
        <v>50.36</v>
      </c>
      <c r="BP84">
        <f t="shared" si="1"/>
        <v>42.411338383838348</v>
      </c>
      <c r="BQ84" s="12">
        <v>0.78472222222222221</v>
      </c>
    </row>
    <row r="85" spans="1:69" ht="17.5" thickBot="1" x14ac:dyDescent="0.5">
      <c r="A85" s="5">
        <v>84</v>
      </c>
      <c r="B85" s="6">
        <v>34.39</v>
      </c>
      <c r="C85" s="6">
        <v>33.96</v>
      </c>
      <c r="D85" s="6">
        <v>43.88</v>
      </c>
      <c r="E85" s="6">
        <v>46.03</v>
      </c>
      <c r="F85" s="6">
        <v>43.91</v>
      </c>
      <c r="G85" s="6">
        <v>44.49</v>
      </c>
      <c r="H85" s="6">
        <v>38.549999999999997</v>
      </c>
      <c r="I85" s="6">
        <v>48.4</v>
      </c>
      <c r="J85" s="6">
        <v>41</v>
      </c>
      <c r="K85" s="6">
        <v>44.01</v>
      </c>
      <c r="L85" s="6">
        <v>49.04</v>
      </c>
      <c r="M85" s="6">
        <v>34.22</v>
      </c>
      <c r="N85" s="6">
        <v>34.92</v>
      </c>
      <c r="O85" s="6">
        <v>43.11</v>
      </c>
      <c r="P85" s="6">
        <v>43.97</v>
      </c>
      <c r="Q85" s="6">
        <v>41.53</v>
      </c>
      <c r="R85" s="6">
        <v>40.96</v>
      </c>
      <c r="S85" s="6">
        <v>36.380000000000003</v>
      </c>
      <c r="T85" s="6">
        <v>48.05</v>
      </c>
      <c r="U85" s="6">
        <v>41.54</v>
      </c>
      <c r="V85" s="6">
        <v>43.22</v>
      </c>
      <c r="W85" s="6">
        <v>48.4</v>
      </c>
      <c r="X85" s="6">
        <v>36.119999999999997</v>
      </c>
      <c r="Y85" s="6">
        <v>38.26</v>
      </c>
      <c r="Z85" s="6">
        <v>44.41</v>
      </c>
      <c r="AA85" s="6">
        <v>45.79</v>
      </c>
      <c r="AB85" s="6">
        <v>45.1</v>
      </c>
      <c r="AC85" s="6">
        <v>43.1</v>
      </c>
      <c r="AD85" s="6">
        <v>36.93</v>
      </c>
      <c r="AE85" s="6">
        <v>49.16</v>
      </c>
      <c r="AF85" s="6">
        <v>40.36</v>
      </c>
      <c r="AG85" s="6">
        <v>43.5</v>
      </c>
      <c r="AH85" s="6">
        <v>49.31</v>
      </c>
      <c r="AI85" s="6">
        <v>34.28</v>
      </c>
      <c r="AJ85" s="6">
        <v>33.229999999999997</v>
      </c>
      <c r="AK85" s="6">
        <v>42.24</v>
      </c>
      <c r="AL85" s="6">
        <v>44.58</v>
      </c>
      <c r="AM85" s="6">
        <v>43.22</v>
      </c>
      <c r="AN85" s="6">
        <v>42.84</v>
      </c>
      <c r="AO85" s="6">
        <v>36.78</v>
      </c>
      <c r="AP85" s="6">
        <v>49.93</v>
      </c>
      <c r="AQ85" s="6">
        <v>40.85</v>
      </c>
      <c r="AR85" s="6">
        <v>40.909999999999997</v>
      </c>
      <c r="AS85" s="6">
        <v>50.02</v>
      </c>
      <c r="AT85" s="6">
        <v>35.81</v>
      </c>
      <c r="AU85" s="6">
        <v>36.130000000000003</v>
      </c>
      <c r="AV85" s="6">
        <v>44.91</v>
      </c>
      <c r="AW85" s="6">
        <v>45.48</v>
      </c>
      <c r="AX85" s="6">
        <v>45.39</v>
      </c>
      <c r="AY85" s="6">
        <v>43.01</v>
      </c>
      <c r="AZ85" s="6">
        <v>38.979999999999997</v>
      </c>
      <c r="BA85" s="6">
        <v>50.75</v>
      </c>
      <c r="BB85" s="6">
        <v>42.86</v>
      </c>
      <c r="BC85" s="6">
        <v>45.11</v>
      </c>
      <c r="BD85" s="6">
        <v>50.36</v>
      </c>
      <c r="BE85" s="6">
        <v>35.67</v>
      </c>
      <c r="BF85" s="6">
        <v>35.78</v>
      </c>
      <c r="BG85" s="6">
        <v>42.39</v>
      </c>
      <c r="BH85" s="6">
        <v>43.88</v>
      </c>
      <c r="BI85" s="6">
        <v>43.21</v>
      </c>
      <c r="BJ85" s="6">
        <v>41.83</v>
      </c>
      <c r="BK85" s="6">
        <v>36.520000000000003</v>
      </c>
      <c r="BL85" s="6">
        <v>47.95</v>
      </c>
      <c r="BM85" s="6">
        <v>40.32</v>
      </c>
      <c r="BN85" s="6">
        <v>43.75</v>
      </c>
      <c r="BO85" s="6">
        <v>49.25</v>
      </c>
      <c r="BP85">
        <f t="shared" si="1"/>
        <v>42.398434343434332</v>
      </c>
      <c r="BQ85" s="12">
        <v>0.79166666666666663</v>
      </c>
    </row>
    <row r="86" spans="1:69" ht="17.5" thickBot="1" x14ac:dyDescent="0.5">
      <c r="A86" s="5">
        <v>85</v>
      </c>
      <c r="B86" s="6">
        <v>34.22</v>
      </c>
      <c r="C86" s="6">
        <v>34.92</v>
      </c>
      <c r="D86" s="6">
        <v>43.11</v>
      </c>
      <c r="E86" s="6">
        <v>43.97</v>
      </c>
      <c r="F86" s="6">
        <v>41.53</v>
      </c>
      <c r="G86" s="6">
        <v>40.96</v>
      </c>
      <c r="H86" s="6">
        <v>36.380000000000003</v>
      </c>
      <c r="I86" s="6">
        <v>48.05</v>
      </c>
      <c r="J86" s="6">
        <v>41.54</v>
      </c>
      <c r="K86" s="6">
        <v>43.22</v>
      </c>
      <c r="L86" s="6">
        <v>48.4</v>
      </c>
      <c r="M86" s="6">
        <v>36.119999999999997</v>
      </c>
      <c r="N86" s="6">
        <v>38.26</v>
      </c>
      <c r="O86" s="6">
        <v>44.41</v>
      </c>
      <c r="P86" s="6">
        <v>45.79</v>
      </c>
      <c r="Q86" s="6">
        <v>45.1</v>
      </c>
      <c r="R86" s="6">
        <v>43.1</v>
      </c>
      <c r="S86" s="6">
        <v>36.93</v>
      </c>
      <c r="T86" s="6">
        <v>49.16</v>
      </c>
      <c r="U86" s="6">
        <v>40.36</v>
      </c>
      <c r="V86" s="6">
        <v>43.5</v>
      </c>
      <c r="W86" s="6">
        <v>49.31</v>
      </c>
      <c r="X86" s="6">
        <v>34.28</v>
      </c>
      <c r="Y86" s="6">
        <v>33.229999999999997</v>
      </c>
      <c r="Z86" s="6">
        <v>42.24</v>
      </c>
      <c r="AA86" s="6">
        <v>44.58</v>
      </c>
      <c r="AB86" s="6">
        <v>43.22</v>
      </c>
      <c r="AC86" s="6">
        <v>42.84</v>
      </c>
      <c r="AD86" s="6">
        <v>36.78</v>
      </c>
      <c r="AE86" s="6">
        <v>49.93</v>
      </c>
      <c r="AF86" s="6">
        <v>40.85</v>
      </c>
      <c r="AG86" s="6">
        <v>40.909999999999997</v>
      </c>
      <c r="AH86" s="6">
        <v>50.02</v>
      </c>
      <c r="AI86" s="6">
        <v>35.81</v>
      </c>
      <c r="AJ86" s="6">
        <v>36.130000000000003</v>
      </c>
      <c r="AK86" s="6">
        <v>44.91</v>
      </c>
      <c r="AL86" s="6">
        <v>45.48</v>
      </c>
      <c r="AM86" s="6">
        <v>45.39</v>
      </c>
      <c r="AN86" s="6">
        <v>43.01</v>
      </c>
      <c r="AO86" s="6">
        <v>38.979999999999997</v>
      </c>
      <c r="AP86" s="6">
        <v>50.75</v>
      </c>
      <c r="AQ86" s="6">
        <v>42.86</v>
      </c>
      <c r="AR86" s="6">
        <v>45.11</v>
      </c>
      <c r="AS86" s="6">
        <v>50.36</v>
      </c>
      <c r="AT86" s="6">
        <v>35.67</v>
      </c>
      <c r="AU86" s="6">
        <v>35.78</v>
      </c>
      <c r="AV86" s="6">
        <v>42.39</v>
      </c>
      <c r="AW86" s="6">
        <v>43.88</v>
      </c>
      <c r="AX86" s="6">
        <v>43.21</v>
      </c>
      <c r="AY86" s="6">
        <v>41.83</v>
      </c>
      <c r="AZ86" s="6">
        <v>36.520000000000003</v>
      </c>
      <c r="BA86" s="6">
        <v>47.95</v>
      </c>
      <c r="BB86" s="6">
        <v>40.32</v>
      </c>
      <c r="BC86" s="6">
        <v>43.75</v>
      </c>
      <c r="BD86" s="6">
        <v>49.25</v>
      </c>
      <c r="BE86" s="6">
        <v>33.32</v>
      </c>
      <c r="BF86" s="6">
        <v>36.29</v>
      </c>
      <c r="BG86" s="6">
        <v>45.91</v>
      </c>
      <c r="BH86" s="6">
        <v>47.24</v>
      </c>
      <c r="BI86" s="6">
        <v>45.33</v>
      </c>
      <c r="BJ86" s="6">
        <v>44.42</v>
      </c>
      <c r="BK86" s="6">
        <v>39.159999999999997</v>
      </c>
      <c r="BL86" s="6">
        <v>49.3</v>
      </c>
      <c r="BM86" s="6">
        <v>42.77</v>
      </c>
      <c r="BN86" s="6">
        <v>41.16</v>
      </c>
      <c r="BO86" s="6">
        <v>50.05</v>
      </c>
      <c r="BP86">
        <f t="shared" si="1"/>
        <v>42.387449494949493</v>
      </c>
      <c r="BQ86" s="12">
        <v>0.79861111111111116</v>
      </c>
    </row>
    <row r="87" spans="1:69" ht="17.5" thickBot="1" x14ac:dyDescent="0.5">
      <c r="A87" s="5">
        <v>86</v>
      </c>
      <c r="B87" s="6">
        <v>36.119999999999997</v>
      </c>
      <c r="C87" s="6">
        <v>38.26</v>
      </c>
      <c r="D87" s="6">
        <v>44.41</v>
      </c>
      <c r="E87" s="6">
        <v>45.79</v>
      </c>
      <c r="F87" s="6">
        <v>45.1</v>
      </c>
      <c r="G87" s="6">
        <v>43.1</v>
      </c>
      <c r="H87" s="6">
        <v>36.93</v>
      </c>
      <c r="I87" s="6">
        <v>49.16</v>
      </c>
      <c r="J87" s="6">
        <v>40.36</v>
      </c>
      <c r="K87" s="6">
        <v>43.5</v>
      </c>
      <c r="L87" s="6">
        <v>49.31</v>
      </c>
      <c r="M87" s="6">
        <v>34.28</v>
      </c>
      <c r="N87" s="6">
        <v>33.229999999999997</v>
      </c>
      <c r="O87" s="6">
        <v>42.24</v>
      </c>
      <c r="P87" s="6">
        <v>44.58</v>
      </c>
      <c r="Q87" s="6">
        <v>43.22</v>
      </c>
      <c r="R87" s="6">
        <v>42.84</v>
      </c>
      <c r="S87" s="6">
        <v>36.78</v>
      </c>
      <c r="T87" s="6">
        <v>49.93</v>
      </c>
      <c r="U87" s="6">
        <v>40.85</v>
      </c>
      <c r="V87" s="6">
        <v>40.909999999999997</v>
      </c>
      <c r="W87" s="6">
        <v>50.02</v>
      </c>
      <c r="X87" s="6">
        <v>35.81</v>
      </c>
      <c r="Y87" s="6">
        <v>36.130000000000003</v>
      </c>
      <c r="Z87" s="6">
        <v>44.91</v>
      </c>
      <c r="AA87" s="6">
        <v>45.48</v>
      </c>
      <c r="AB87" s="6">
        <v>45.39</v>
      </c>
      <c r="AC87" s="6">
        <v>43.01</v>
      </c>
      <c r="AD87" s="6">
        <v>38.979999999999997</v>
      </c>
      <c r="AE87" s="6">
        <v>50.75</v>
      </c>
      <c r="AF87" s="6">
        <v>42.86</v>
      </c>
      <c r="AG87" s="6">
        <v>45.11</v>
      </c>
      <c r="AH87" s="6">
        <v>50.36</v>
      </c>
      <c r="AI87" s="6">
        <v>35.67</v>
      </c>
      <c r="AJ87" s="6">
        <v>35.78</v>
      </c>
      <c r="AK87" s="6">
        <v>42.39</v>
      </c>
      <c r="AL87" s="6">
        <v>43.88</v>
      </c>
      <c r="AM87" s="6">
        <v>43.21</v>
      </c>
      <c r="AN87" s="6">
        <v>41.83</v>
      </c>
      <c r="AO87" s="6">
        <v>36.520000000000003</v>
      </c>
      <c r="AP87" s="6">
        <v>47.95</v>
      </c>
      <c r="AQ87" s="6">
        <v>40.32</v>
      </c>
      <c r="AR87" s="6">
        <v>43.75</v>
      </c>
      <c r="AS87" s="6">
        <v>49.25</v>
      </c>
      <c r="AT87" s="6">
        <v>33.32</v>
      </c>
      <c r="AU87" s="6">
        <v>36.29</v>
      </c>
      <c r="AV87" s="6">
        <v>45.91</v>
      </c>
      <c r="AW87" s="6">
        <v>47.24</v>
      </c>
      <c r="AX87" s="6">
        <v>45.33</v>
      </c>
      <c r="AY87" s="6">
        <v>44.42</v>
      </c>
      <c r="AZ87" s="6">
        <v>39.159999999999997</v>
      </c>
      <c r="BA87" s="6">
        <v>49.3</v>
      </c>
      <c r="BB87" s="6">
        <v>42.77</v>
      </c>
      <c r="BC87" s="6">
        <v>41.16</v>
      </c>
      <c r="BD87" s="6">
        <v>50.05</v>
      </c>
      <c r="BE87" s="6">
        <v>38.03</v>
      </c>
      <c r="BF87" s="6">
        <v>36.92</v>
      </c>
      <c r="BG87" s="6">
        <v>44.15</v>
      </c>
      <c r="BH87" s="6">
        <v>44.99</v>
      </c>
      <c r="BI87" s="6">
        <v>47.97</v>
      </c>
      <c r="BJ87" s="6">
        <v>41.32</v>
      </c>
      <c r="BK87" s="6">
        <v>39.159999999999997</v>
      </c>
      <c r="BL87" s="6">
        <v>48.3</v>
      </c>
      <c r="BM87" s="6">
        <v>37.06</v>
      </c>
      <c r="BN87" s="6">
        <v>41.91</v>
      </c>
      <c r="BO87" s="6">
        <v>47.96</v>
      </c>
      <c r="BP87">
        <f t="shared" si="1"/>
        <v>42.443055555555567</v>
      </c>
      <c r="BQ87" s="12">
        <v>0.80555555555555547</v>
      </c>
    </row>
    <row r="88" spans="1:69" ht="17.5" thickBot="1" x14ac:dyDescent="0.5">
      <c r="A88" s="5">
        <v>87</v>
      </c>
      <c r="B88" s="6">
        <v>34.28</v>
      </c>
      <c r="C88" s="6">
        <v>33.229999999999997</v>
      </c>
      <c r="D88" s="6">
        <v>42.24</v>
      </c>
      <c r="E88" s="6">
        <v>44.58</v>
      </c>
      <c r="F88" s="6">
        <v>43.22</v>
      </c>
      <c r="G88" s="6">
        <v>42.84</v>
      </c>
      <c r="H88" s="6">
        <v>36.78</v>
      </c>
      <c r="I88" s="6">
        <v>49.93</v>
      </c>
      <c r="J88" s="6">
        <v>40.85</v>
      </c>
      <c r="K88" s="6">
        <v>40.909999999999997</v>
      </c>
      <c r="L88" s="6">
        <v>50.02</v>
      </c>
      <c r="M88" s="6">
        <v>35.81</v>
      </c>
      <c r="N88" s="6">
        <v>36.130000000000003</v>
      </c>
      <c r="O88" s="6">
        <v>44.91</v>
      </c>
      <c r="P88" s="6">
        <v>45.48</v>
      </c>
      <c r="Q88" s="6">
        <v>45.39</v>
      </c>
      <c r="R88" s="6">
        <v>43.01</v>
      </c>
      <c r="S88" s="6">
        <v>38.979999999999997</v>
      </c>
      <c r="T88" s="6">
        <v>50.75</v>
      </c>
      <c r="U88" s="6">
        <v>42.86</v>
      </c>
      <c r="V88" s="6">
        <v>45.11</v>
      </c>
      <c r="W88" s="6">
        <v>50.36</v>
      </c>
      <c r="X88" s="6">
        <v>35.67</v>
      </c>
      <c r="Y88" s="6">
        <v>35.78</v>
      </c>
      <c r="Z88" s="6">
        <v>42.39</v>
      </c>
      <c r="AA88" s="6">
        <v>43.88</v>
      </c>
      <c r="AB88" s="6">
        <v>43.21</v>
      </c>
      <c r="AC88" s="6">
        <v>41.83</v>
      </c>
      <c r="AD88" s="6">
        <v>36.520000000000003</v>
      </c>
      <c r="AE88" s="6">
        <v>47.95</v>
      </c>
      <c r="AF88" s="6">
        <v>40.32</v>
      </c>
      <c r="AG88" s="6">
        <v>43.75</v>
      </c>
      <c r="AH88" s="6">
        <v>49.25</v>
      </c>
      <c r="AI88" s="6">
        <v>33.32</v>
      </c>
      <c r="AJ88" s="6">
        <v>36.29</v>
      </c>
      <c r="AK88" s="6">
        <v>45.91</v>
      </c>
      <c r="AL88" s="6">
        <v>47.24</v>
      </c>
      <c r="AM88" s="6">
        <v>45.33</v>
      </c>
      <c r="AN88" s="6">
        <v>44.42</v>
      </c>
      <c r="AO88" s="6">
        <v>39.159999999999997</v>
      </c>
      <c r="AP88" s="6">
        <v>49.3</v>
      </c>
      <c r="AQ88" s="6">
        <v>42.77</v>
      </c>
      <c r="AR88" s="6">
        <v>41.16</v>
      </c>
      <c r="AS88" s="6">
        <v>50.05</v>
      </c>
      <c r="AT88" s="6">
        <v>38.03</v>
      </c>
      <c r="AU88" s="6">
        <v>36.92</v>
      </c>
      <c r="AV88" s="6">
        <v>44.15</v>
      </c>
      <c r="AW88" s="6">
        <v>44.99</v>
      </c>
      <c r="AX88" s="6">
        <v>47.97</v>
      </c>
      <c r="AY88" s="6">
        <v>41.32</v>
      </c>
      <c r="AZ88" s="6">
        <v>39.159999999999997</v>
      </c>
      <c r="BA88" s="6">
        <v>48.3</v>
      </c>
      <c r="BB88" s="6">
        <v>37.06</v>
      </c>
      <c r="BC88" s="6">
        <v>41.91</v>
      </c>
      <c r="BD88" s="6">
        <v>47.96</v>
      </c>
      <c r="BE88" s="6">
        <v>38.07</v>
      </c>
      <c r="BF88" s="6">
        <v>35.82</v>
      </c>
      <c r="BG88" s="6">
        <v>44.96</v>
      </c>
      <c r="BH88" s="6">
        <v>47.21</v>
      </c>
      <c r="BI88" s="6">
        <v>50.55</v>
      </c>
      <c r="BJ88" s="6">
        <v>40.78</v>
      </c>
      <c r="BK88" s="6">
        <v>36.82</v>
      </c>
      <c r="BL88" s="6">
        <v>49.48</v>
      </c>
      <c r="BM88" s="6">
        <v>36.76</v>
      </c>
      <c r="BN88" s="6">
        <v>40.799999999999997</v>
      </c>
      <c r="BO88" s="6">
        <v>47.28</v>
      </c>
      <c r="BP88">
        <f t="shared" si="1"/>
        <v>42.474116161616124</v>
      </c>
      <c r="BQ88" s="12">
        <v>0.8125</v>
      </c>
    </row>
    <row r="89" spans="1:69" ht="17.5" thickBot="1" x14ac:dyDescent="0.5">
      <c r="A89" s="5">
        <v>88</v>
      </c>
      <c r="B89" s="6">
        <v>35.81</v>
      </c>
      <c r="C89" s="6">
        <v>36.130000000000003</v>
      </c>
      <c r="D89" s="6">
        <v>44.91</v>
      </c>
      <c r="E89" s="6">
        <v>45.48</v>
      </c>
      <c r="F89" s="6">
        <v>45.39</v>
      </c>
      <c r="G89" s="6">
        <v>43.01</v>
      </c>
      <c r="H89" s="6">
        <v>38.979999999999997</v>
      </c>
      <c r="I89" s="6">
        <v>50.75</v>
      </c>
      <c r="J89" s="6">
        <v>42.86</v>
      </c>
      <c r="K89" s="6">
        <v>45.11</v>
      </c>
      <c r="L89" s="6">
        <v>50.36</v>
      </c>
      <c r="M89" s="6">
        <v>35.67</v>
      </c>
      <c r="N89" s="6">
        <v>35.78</v>
      </c>
      <c r="O89" s="6">
        <v>42.39</v>
      </c>
      <c r="P89" s="6">
        <v>43.88</v>
      </c>
      <c r="Q89" s="6">
        <v>43.21</v>
      </c>
      <c r="R89" s="6">
        <v>41.83</v>
      </c>
      <c r="S89" s="6">
        <v>36.520000000000003</v>
      </c>
      <c r="T89" s="6">
        <v>47.95</v>
      </c>
      <c r="U89" s="6">
        <v>40.32</v>
      </c>
      <c r="V89" s="6">
        <v>43.75</v>
      </c>
      <c r="W89" s="6">
        <v>49.25</v>
      </c>
      <c r="X89" s="6">
        <v>33.32</v>
      </c>
      <c r="Y89" s="6">
        <v>36.29</v>
      </c>
      <c r="Z89" s="6">
        <v>45.91</v>
      </c>
      <c r="AA89" s="6">
        <v>47.24</v>
      </c>
      <c r="AB89" s="6">
        <v>45.33</v>
      </c>
      <c r="AC89" s="6">
        <v>44.42</v>
      </c>
      <c r="AD89" s="6">
        <v>39.159999999999997</v>
      </c>
      <c r="AE89" s="6">
        <v>49.3</v>
      </c>
      <c r="AF89" s="6">
        <v>42.77</v>
      </c>
      <c r="AG89" s="6">
        <v>41.16</v>
      </c>
      <c r="AH89" s="6">
        <v>50.05</v>
      </c>
      <c r="AI89" s="6">
        <v>38.03</v>
      </c>
      <c r="AJ89" s="6">
        <v>36.92</v>
      </c>
      <c r="AK89" s="6">
        <v>44.15</v>
      </c>
      <c r="AL89" s="6">
        <v>44.99</v>
      </c>
      <c r="AM89" s="6">
        <v>47.97</v>
      </c>
      <c r="AN89" s="6">
        <v>41.32</v>
      </c>
      <c r="AO89" s="6">
        <v>39.159999999999997</v>
      </c>
      <c r="AP89" s="6">
        <v>48.3</v>
      </c>
      <c r="AQ89" s="6">
        <v>37.06</v>
      </c>
      <c r="AR89" s="6">
        <v>41.91</v>
      </c>
      <c r="AS89" s="6">
        <v>47.96</v>
      </c>
      <c r="AT89" s="6">
        <v>38.07</v>
      </c>
      <c r="AU89" s="6">
        <v>35.82</v>
      </c>
      <c r="AV89" s="6">
        <v>44.96</v>
      </c>
      <c r="AW89" s="6">
        <v>47.21</v>
      </c>
      <c r="AX89" s="6">
        <v>50.55</v>
      </c>
      <c r="AY89" s="6">
        <v>40.78</v>
      </c>
      <c r="AZ89" s="6">
        <v>36.82</v>
      </c>
      <c r="BA89" s="6">
        <v>49.48</v>
      </c>
      <c r="BB89" s="6">
        <v>36.76</v>
      </c>
      <c r="BC89" s="6">
        <v>40.799999999999997</v>
      </c>
      <c r="BD89" s="6">
        <v>47.28</v>
      </c>
      <c r="BE89" s="6">
        <v>36.85</v>
      </c>
      <c r="BF89" s="6">
        <v>34.28</v>
      </c>
      <c r="BG89" s="6">
        <v>43.98</v>
      </c>
      <c r="BH89" s="6">
        <v>47.3</v>
      </c>
      <c r="BI89" s="6">
        <v>46.96</v>
      </c>
      <c r="BJ89" s="6">
        <v>39.67</v>
      </c>
      <c r="BK89" s="6">
        <v>38.01</v>
      </c>
      <c r="BL89" s="6">
        <v>49.05</v>
      </c>
      <c r="BM89" s="6">
        <v>37.01</v>
      </c>
      <c r="BN89" s="6">
        <v>39.479999999999997</v>
      </c>
      <c r="BO89" s="6">
        <v>47.45</v>
      </c>
      <c r="BP89">
        <f t="shared" si="1"/>
        <v>42.512323232323155</v>
      </c>
      <c r="BQ89" s="12">
        <v>0.81944444444444453</v>
      </c>
    </row>
    <row r="90" spans="1:69" ht="17.5" thickBot="1" x14ac:dyDescent="0.5">
      <c r="A90" s="5">
        <v>89</v>
      </c>
      <c r="B90" s="6">
        <v>35.67</v>
      </c>
      <c r="C90" s="6">
        <v>35.78</v>
      </c>
      <c r="D90" s="6">
        <v>42.39</v>
      </c>
      <c r="E90" s="6">
        <v>43.88</v>
      </c>
      <c r="F90" s="6">
        <v>43.21</v>
      </c>
      <c r="G90" s="6">
        <v>41.83</v>
      </c>
      <c r="H90" s="6">
        <v>36.520000000000003</v>
      </c>
      <c r="I90" s="6">
        <v>47.95</v>
      </c>
      <c r="J90" s="6">
        <v>40.32</v>
      </c>
      <c r="K90" s="6">
        <v>43.75</v>
      </c>
      <c r="L90" s="6">
        <v>49.25</v>
      </c>
      <c r="M90" s="6">
        <v>33.32</v>
      </c>
      <c r="N90" s="6">
        <v>36.29</v>
      </c>
      <c r="O90" s="6">
        <v>45.91</v>
      </c>
      <c r="P90" s="6">
        <v>47.24</v>
      </c>
      <c r="Q90" s="6">
        <v>45.33</v>
      </c>
      <c r="R90" s="6">
        <v>44.42</v>
      </c>
      <c r="S90" s="6">
        <v>39.159999999999997</v>
      </c>
      <c r="T90" s="6">
        <v>49.3</v>
      </c>
      <c r="U90" s="6">
        <v>42.77</v>
      </c>
      <c r="V90" s="6">
        <v>41.16</v>
      </c>
      <c r="W90" s="6">
        <v>50.05</v>
      </c>
      <c r="X90" s="6">
        <v>38.03</v>
      </c>
      <c r="Y90" s="6">
        <v>36.92</v>
      </c>
      <c r="Z90" s="6">
        <v>44.15</v>
      </c>
      <c r="AA90" s="6">
        <v>44.99</v>
      </c>
      <c r="AB90" s="6">
        <v>47.97</v>
      </c>
      <c r="AC90" s="6">
        <v>41.32</v>
      </c>
      <c r="AD90" s="6">
        <v>39.159999999999997</v>
      </c>
      <c r="AE90" s="6">
        <v>48.3</v>
      </c>
      <c r="AF90" s="6">
        <v>37.06</v>
      </c>
      <c r="AG90" s="6">
        <v>41.91</v>
      </c>
      <c r="AH90" s="6">
        <v>47.96</v>
      </c>
      <c r="AI90" s="6">
        <v>38.07</v>
      </c>
      <c r="AJ90" s="6">
        <v>35.82</v>
      </c>
      <c r="AK90" s="6">
        <v>44.96</v>
      </c>
      <c r="AL90" s="6">
        <v>47.21</v>
      </c>
      <c r="AM90" s="6">
        <v>50.55</v>
      </c>
      <c r="AN90" s="6">
        <v>40.78</v>
      </c>
      <c r="AO90" s="6">
        <v>36.82</v>
      </c>
      <c r="AP90" s="6">
        <v>49.48</v>
      </c>
      <c r="AQ90" s="6">
        <v>36.76</v>
      </c>
      <c r="AR90" s="6">
        <v>40.799999999999997</v>
      </c>
      <c r="AS90" s="6">
        <v>47.28</v>
      </c>
      <c r="AT90" s="6">
        <v>36.85</v>
      </c>
      <c r="AU90" s="6">
        <v>34.28</v>
      </c>
      <c r="AV90" s="6">
        <v>43.98</v>
      </c>
      <c r="AW90" s="6">
        <v>47.3</v>
      </c>
      <c r="AX90" s="6">
        <v>46.96</v>
      </c>
      <c r="AY90" s="6">
        <v>39.67</v>
      </c>
      <c r="AZ90" s="6">
        <v>38.01</v>
      </c>
      <c r="BA90" s="6">
        <v>49.05</v>
      </c>
      <c r="BB90" s="6">
        <v>37.01</v>
      </c>
      <c r="BC90" s="6">
        <v>39.479999999999997</v>
      </c>
      <c r="BD90" s="6">
        <v>47.45</v>
      </c>
      <c r="BE90" s="6">
        <v>37.56</v>
      </c>
      <c r="BF90" s="6">
        <v>34.49</v>
      </c>
      <c r="BG90" s="6">
        <v>45.24</v>
      </c>
      <c r="BH90" s="6">
        <v>48.65</v>
      </c>
      <c r="BI90" s="6">
        <v>49.17</v>
      </c>
      <c r="BJ90" s="6">
        <v>40.299999999999997</v>
      </c>
      <c r="BK90" s="6">
        <v>37.72</v>
      </c>
      <c r="BL90" s="6">
        <v>51.03</v>
      </c>
      <c r="BM90" s="6">
        <v>37.81</v>
      </c>
      <c r="BN90" s="6">
        <v>41.19</v>
      </c>
      <c r="BO90" s="6">
        <v>46.66</v>
      </c>
      <c r="BP90">
        <f t="shared" si="1"/>
        <v>42.501186868686801</v>
      </c>
      <c r="BQ90" s="12">
        <v>0.82638888888888884</v>
      </c>
    </row>
    <row r="91" spans="1:69" ht="17.5" thickBot="1" x14ac:dyDescent="0.5">
      <c r="A91" s="5">
        <v>90</v>
      </c>
      <c r="B91" s="6">
        <v>33.32</v>
      </c>
      <c r="C91" s="6">
        <v>36.29</v>
      </c>
      <c r="D91" s="6">
        <v>45.91</v>
      </c>
      <c r="E91" s="6">
        <v>47.24</v>
      </c>
      <c r="F91" s="6">
        <v>45.33</v>
      </c>
      <c r="G91" s="6">
        <v>44.42</v>
      </c>
      <c r="H91" s="6">
        <v>39.159999999999997</v>
      </c>
      <c r="I91" s="6">
        <v>49.3</v>
      </c>
      <c r="J91" s="6">
        <v>42.77</v>
      </c>
      <c r="K91" s="6">
        <v>41.16</v>
      </c>
      <c r="L91" s="6">
        <v>50.05</v>
      </c>
      <c r="M91" s="6">
        <v>38.03</v>
      </c>
      <c r="N91" s="6">
        <v>36.92</v>
      </c>
      <c r="O91" s="6">
        <v>44.15</v>
      </c>
      <c r="P91" s="6">
        <v>44.99</v>
      </c>
      <c r="Q91" s="6">
        <v>47.97</v>
      </c>
      <c r="R91" s="6">
        <v>41.32</v>
      </c>
      <c r="S91" s="6">
        <v>39.159999999999997</v>
      </c>
      <c r="T91" s="6">
        <v>48.3</v>
      </c>
      <c r="U91" s="6">
        <v>37.06</v>
      </c>
      <c r="V91" s="6">
        <v>41.91</v>
      </c>
      <c r="W91" s="6">
        <v>47.96</v>
      </c>
      <c r="X91" s="6">
        <v>38.07</v>
      </c>
      <c r="Y91" s="6">
        <v>35.82</v>
      </c>
      <c r="Z91" s="6">
        <v>44.96</v>
      </c>
      <c r="AA91" s="6">
        <v>47.21</v>
      </c>
      <c r="AB91" s="6">
        <v>50.55</v>
      </c>
      <c r="AC91" s="6">
        <v>40.78</v>
      </c>
      <c r="AD91" s="6">
        <v>36.82</v>
      </c>
      <c r="AE91" s="6">
        <v>49.48</v>
      </c>
      <c r="AF91" s="6">
        <v>36.76</v>
      </c>
      <c r="AG91" s="6">
        <v>40.799999999999997</v>
      </c>
      <c r="AH91" s="6">
        <v>47.28</v>
      </c>
      <c r="AI91" s="6">
        <v>36.85</v>
      </c>
      <c r="AJ91" s="6">
        <v>34.28</v>
      </c>
      <c r="AK91" s="6">
        <v>43.98</v>
      </c>
      <c r="AL91" s="6">
        <v>47.3</v>
      </c>
      <c r="AM91" s="6">
        <v>46.96</v>
      </c>
      <c r="AN91" s="6">
        <v>39.67</v>
      </c>
      <c r="AO91" s="6">
        <v>38.01</v>
      </c>
      <c r="AP91" s="6">
        <v>49.05</v>
      </c>
      <c r="AQ91" s="6">
        <v>37.01</v>
      </c>
      <c r="AR91" s="6">
        <v>39.479999999999997</v>
      </c>
      <c r="AS91" s="6">
        <v>47.45</v>
      </c>
      <c r="AT91" s="6">
        <v>37.56</v>
      </c>
      <c r="AU91" s="6">
        <v>34.49</v>
      </c>
      <c r="AV91" s="6">
        <v>45.24</v>
      </c>
      <c r="AW91" s="6">
        <v>48.65</v>
      </c>
      <c r="AX91" s="6">
        <v>49.17</v>
      </c>
      <c r="AY91" s="6">
        <v>40.299999999999997</v>
      </c>
      <c r="AZ91" s="6">
        <v>37.72</v>
      </c>
      <c r="BA91" s="6">
        <v>51.03</v>
      </c>
      <c r="BB91" s="6">
        <v>37.81</v>
      </c>
      <c r="BC91" s="6">
        <v>41.19</v>
      </c>
      <c r="BD91" s="6">
        <v>46.66</v>
      </c>
      <c r="BE91" s="6">
        <v>38.94</v>
      </c>
      <c r="BF91" s="6">
        <v>35.26</v>
      </c>
      <c r="BG91" s="6">
        <v>44.13</v>
      </c>
      <c r="BH91" s="6">
        <v>48.33</v>
      </c>
      <c r="BI91" s="6">
        <v>50.52</v>
      </c>
      <c r="BJ91" s="6">
        <v>41.33</v>
      </c>
      <c r="BK91" s="6">
        <v>39.44</v>
      </c>
      <c r="BL91" s="6">
        <v>48.67</v>
      </c>
      <c r="BM91" s="6">
        <v>36.729999999999997</v>
      </c>
      <c r="BN91" s="6">
        <v>39.880000000000003</v>
      </c>
      <c r="BO91" s="6">
        <v>47.88</v>
      </c>
      <c r="BP91">
        <f t="shared" si="1"/>
        <v>42.546641414141327</v>
      </c>
      <c r="BQ91" s="12">
        <v>0.83333333333333337</v>
      </c>
    </row>
    <row r="92" spans="1:69" ht="17.5" thickBot="1" x14ac:dyDescent="0.5">
      <c r="A92" s="5">
        <v>91</v>
      </c>
      <c r="B92" s="6">
        <v>38.03</v>
      </c>
      <c r="C92" s="6">
        <v>36.92</v>
      </c>
      <c r="D92" s="6">
        <v>44.15</v>
      </c>
      <c r="E92" s="6">
        <v>44.99</v>
      </c>
      <c r="F92" s="6">
        <v>47.97</v>
      </c>
      <c r="G92" s="6">
        <v>41.32</v>
      </c>
      <c r="H92" s="6">
        <v>39.159999999999997</v>
      </c>
      <c r="I92" s="6">
        <v>48.3</v>
      </c>
      <c r="J92" s="6">
        <v>37.06</v>
      </c>
      <c r="K92" s="6">
        <v>41.91</v>
      </c>
      <c r="L92" s="6">
        <v>47.96</v>
      </c>
      <c r="M92" s="6">
        <v>38.07</v>
      </c>
      <c r="N92" s="6">
        <v>35.82</v>
      </c>
      <c r="O92" s="6">
        <v>44.96</v>
      </c>
      <c r="P92" s="6">
        <v>47.21</v>
      </c>
      <c r="Q92" s="6">
        <v>50.55</v>
      </c>
      <c r="R92" s="6">
        <v>40.78</v>
      </c>
      <c r="S92" s="6">
        <v>36.82</v>
      </c>
      <c r="T92" s="6">
        <v>49.48</v>
      </c>
      <c r="U92" s="6">
        <v>36.76</v>
      </c>
      <c r="V92" s="6">
        <v>40.799999999999997</v>
      </c>
      <c r="W92" s="6">
        <v>47.28</v>
      </c>
      <c r="X92" s="6">
        <v>36.85</v>
      </c>
      <c r="Y92" s="6">
        <v>34.28</v>
      </c>
      <c r="Z92" s="6">
        <v>43.98</v>
      </c>
      <c r="AA92" s="6">
        <v>47.3</v>
      </c>
      <c r="AB92" s="6">
        <v>46.96</v>
      </c>
      <c r="AC92" s="6">
        <v>39.67</v>
      </c>
      <c r="AD92" s="6">
        <v>38.01</v>
      </c>
      <c r="AE92" s="6">
        <v>49.05</v>
      </c>
      <c r="AF92" s="6">
        <v>37.01</v>
      </c>
      <c r="AG92" s="6">
        <v>39.479999999999997</v>
      </c>
      <c r="AH92" s="6">
        <v>47.45</v>
      </c>
      <c r="AI92" s="6">
        <v>37.56</v>
      </c>
      <c r="AJ92" s="6">
        <v>34.49</v>
      </c>
      <c r="AK92" s="6">
        <v>45.24</v>
      </c>
      <c r="AL92" s="6">
        <v>48.65</v>
      </c>
      <c r="AM92" s="6">
        <v>49.17</v>
      </c>
      <c r="AN92" s="6">
        <v>40.299999999999997</v>
      </c>
      <c r="AO92" s="6">
        <v>37.72</v>
      </c>
      <c r="AP92" s="6">
        <v>51.03</v>
      </c>
      <c r="AQ92" s="6">
        <v>37.81</v>
      </c>
      <c r="AR92" s="6">
        <v>41.19</v>
      </c>
      <c r="AS92" s="6">
        <v>46.66</v>
      </c>
      <c r="AT92" s="6">
        <v>38.94</v>
      </c>
      <c r="AU92" s="6">
        <v>35.26</v>
      </c>
      <c r="AV92" s="6">
        <v>44.13</v>
      </c>
      <c r="AW92" s="6">
        <v>48.33</v>
      </c>
      <c r="AX92" s="6">
        <v>50.52</v>
      </c>
      <c r="AY92" s="6">
        <v>41.33</v>
      </c>
      <c r="AZ92" s="6">
        <v>39.44</v>
      </c>
      <c r="BA92" s="6">
        <v>48.67</v>
      </c>
      <c r="BB92" s="6">
        <v>36.729999999999997</v>
      </c>
      <c r="BC92" s="6">
        <v>39.880000000000003</v>
      </c>
      <c r="BD92" s="6">
        <v>47.88</v>
      </c>
      <c r="BE92" s="6">
        <v>35.53</v>
      </c>
      <c r="BF92" s="6">
        <v>34.08</v>
      </c>
      <c r="BG92" s="6">
        <v>43.46</v>
      </c>
      <c r="BH92" s="6">
        <v>46.48</v>
      </c>
      <c r="BI92" s="6">
        <v>47.71</v>
      </c>
      <c r="BJ92" s="6">
        <v>40.67</v>
      </c>
      <c r="BK92" s="6">
        <v>38.01</v>
      </c>
      <c r="BL92" s="6">
        <v>48.07</v>
      </c>
      <c r="BM92" s="6">
        <v>37.119999999999997</v>
      </c>
      <c r="BN92" s="6">
        <v>39.729999999999997</v>
      </c>
      <c r="BO92" s="6">
        <v>47.03</v>
      </c>
      <c r="BP92">
        <f t="shared" si="1"/>
        <v>42.530606060605948</v>
      </c>
      <c r="BQ92" s="12">
        <v>0.84027777777777779</v>
      </c>
    </row>
    <row r="93" spans="1:69" ht="17.5" thickBot="1" x14ac:dyDescent="0.5">
      <c r="A93" s="5">
        <v>92</v>
      </c>
      <c r="B93" s="6">
        <v>38.07</v>
      </c>
      <c r="C93" s="6">
        <v>35.82</v>
      </c>
      <c r="D93" s="6">
        <v>44.96</v>
      </c>
      <c r="E93" s="6">
        <v>47.21</v>
      </c>
      <c r="F93" s="6">
        <v>50.55</v>
      </c>
      <c r="G93" s="6">
        <v>40.78</v>
      </c>
      <c r="H93" s="6">
        <v>36.82</v>
      </c>
      <c r="I93" s="6">
        <v>49.48</v>
      </c>
      <c r="J93" s="6">
        <v>36.76</v>
      </c>
      <c r="K93" s="6">
        <v>40.799999999999997</v>
      </c>
      <c r="L93" s="6">
        <v>47.28</v>
      </c>
      <c r="M93" s="6">
        <v>36.85</v>
      </c>
      <c r="N93" s="6">
        <v>34.28</v>
      </c>
      <c r="O93" s="6">
        <v>43.98</v>
      </c>
      <c r="P93" s="6">
        <v>47.3</v>
      </c>
      <c r="Q93" s="6">
        <v>46.96</v>
      </c>
      <c r="R93" s="6">
        <v>39.67</v>
      </c>
      <c r="S93" s="6">
        <v>38.01</v>
      </c>
      <c r="T93" s="6">
        <v>49.05</v>
      </c>
      <c r="U93" s="6">
        <v>37.01</v>
      </c>
      <c r="V93" s="6">
        <v>39.479999999999997</v>
      </c>
      <c r="W93" s="6">
        <v>47.45</v>
      </c>
      <c r="X93" s="6">
        <v>37.56</v>
      </c>
      <c r="Y93" s="6">
        <v>34.49</v>
      </c>
      <c r="Z93" s="6">
        <v>45.24</v>
      </c>
      <c r="AA93" s="6">
        <v>48.65</v>
      </c>
      <c r="AB93" s="6">
        <v>49.17</v>
      </c>
      <c r="AC93" s="6">
        <v>40.299999999999997</v>
      </c>
      <c r="AD93" s="6">
        <v>37.72</v>
      </c>
      <c r="AE93" s="6">
        <v>51.03</v>
      </c>
      <c r="AF93" s="6">
        <v>37.81</v>
      </c>
      <c r="AG93" s="6">
        <v>41.19</v>
      </c>
      <c r="AH93" s="6">
        <v>46.66</v>
      </c>
      <c r="AI93" s="6">
        <v>38.94</v>
      </c>
      <c r="AJ93" s="6">
        <v>35.26</v>
      </c>
      <c r="AK93" s="6">
        <v>44.13</v>
      </c>
      <c r="AL93" s="6">
        <v>48.33</v>
      </c>
      <c r="AM93" s="6">
        <v>50.52</v>
      </c>
      <c r="AN93" s="6">
        <v>41.33</v>
      </c>
      <c r="AO93" s="6">
        <v>39.44</v>
      </c>
      <c r="AP93" s="6">
        <v>48.67</v>
      </c>
      <c r="AQ93" s="6">
        <v>36.729999999999997</v>
      </c>
      <c r="AR93" s="6">
        <v>39.880000000000003</v>
      </c>
      <c r="AS93" s="6">
        <v>47.88</v>
      </c>
      <c r="AT93" s="6">
        <v>35.53</v>
      </c>
      <c r="AU93" s="6">
        <v>34.08</v>
      </c>
      <c r="AV93" s="6">
        <v>43.46</v>
      </c>
      <c r="AW93" s="6">
        <v>46.48</v>
      </c>
      <c r="AX93" s="6">
        <v>47.71</v>
      </c>
      <c r="AY93" s="6">
        <v>40.67</v>
      </c>
      <c r="AZ93" s="6">
        <v>38.01</v>
      </c>
      <c r="BA93" s="6">
        <v>48.07</v>
      </c>
      <c r="BB93" s="6">
        <v>37.119999999999997</v>
      </c>
      <c r="BC93" s="6">
        <v>39.729999999999997</v>
      </c>
      <c r="BD93" s="6">
        <v>47.03</v>
      </c>
      <c r="BE93" s="6">
        <v>0</v>
      </c>
      <c r="BF93" s="6">
        <v>0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>
        <f t="shared" si="1"/>
        <v>41.304368686868607</v>
      </c>
      <c r="BQ93" s="12">
        <v>0.84722222222222221</v>
      </c>
    </row>
    <row r="94" spans="1:69" ht="17.5" thickBot="1" x14ac:dyDescent="0.5">
      <c r="A94" s="5">
        <v>93</v>
      </c>
      <c r="B94" s="6">
        <v>36.85</v>
      </c>
      <c r="C94" s="6">
        <v>34.28</v>
      </c>
      <c r="D94" s="6">
        <v>43.98</v>
      </c>
      <c r="E94" s="6">
        <v>47.3</v>
      </c>
      <c r="F94" s="6">
        <v>46.96</v>
      </c>
      <c r="G94" s="6">
        <v>39.67</v>
      </c>
      <c r="H94" s="6">
        <v>38.01</v>
      </c>
      <c r="I94" s="6">
        <v>49.05</v>
      </c>
      <c r="J94" s="6">
        <v>37.01</v>
      </c>
      <c r="K94" s="6">
        <v>39.479999999999997</v>
      </c>
      <c r="L94" s="6">
        <v>47.45</v>
      </c>
      <c r="M94" s="6">
        <v>37.56</v>
      </c>
      <c r="N94" s="6">
        <v>34.49</v>
      </c>
      <c r="O94" s="6">
        <v>45.24</v>
      </c>
      <c r="P94" s="6">
        <v>48.65</v>
      </c>
      <c r="Q94" s="6">
        <v>49.17</v>
      </c>
      <c r="R94" s="6">
        <v>40.299999999999997</v>
      </c>
      <c r="S94" s="6">
        <v>37.72</v>
      </c>
      <c r="T94" s="6">
        <v>51.03</v>
      </c>
      <c r="U94" s="6">
        <v>37.81</v>
      </c>
      <c r="V94" s="6">
        <v>41.19</v>
      </c>
      <c r="W94" s="6">
        <v>46.66</v>
      </c>
      <c r="X94" s="6">
        <v>38.94</v>
      </c>
      <c r="Y94" s="6">
        <v>35.26</v>
      </c>
      <c r="Z94" s="6">
        <v>44.13</v>
      </c>
      <c r="AA94" s="6">
        <v>48.33</v>
      </c>
      <c r="AB94" s="6">
        <v>50.52</v>
      </c>
      <c r="AC94" s="6">
        <v>41.33</v>
      </c>
      <c r="AD94" s="6">
        <v>39.44</v>
      </c>
      <c r="AE94" s="6">
        <v>48.67</v>
      </c>
      <c r="AF94" s="6">
        <v>36.729999999999997</v>
      </c>
      <c r="AG94" s="6">
        <v>39.880000000000003</v>
      </c>
      <c r="AH94" s="6">
        <v>47.88</v>
      </c>
      <c r="AI94" s="6">
        <v>35.53</v>
      </c>
      <c r="AJ94" s="6">
        <v>34.08</v>
      </c>
      <c r="AK94" s="6">
        <v>43.46</v>
      </c>
      <c r="AL94" s="6">
        <v>46.48</v>
      </c>
      <c r="AM94" s="6">
        <v>47.71</v>
      </c>
      <c r="AN94" s="6">
        <v>40.67</v>
      </c>
      <c r="AO94" s="6">
        <v>38.01</v>
      </c>
      <c r="AP94" s="6">
        <v>48.07</v>
      </c>
      <c r="AQ94" s="6">
        <v>37.119999999999997</v>
      </c>
      <c r="AR94" s="6">
        <v>39.729999999999997</v>
      </c>
      <c r="AS94" s="6">
        <v>47.03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0</v>
      </c>
      <c r="BM94" s="6">
        <v>0</v>
      </c>
      <c r="BN94" s="6">
        <v>0</v>
      </c>
      <c r="BO94" s="6">
        <v>0</v>
      </c>
      <c r="BP94">
        <f t="shared" si="1"/>
        <v>38.90383838383832</v>
      </c>
      <c r="BQ94" s="12">
        <v>0.85416666666666663</v>
      </c>
    </row>
    <row r="95" spans="1:69" ht="17.5" thickBot="1" x14ac:dyDescent="0.5">
      <c r="A95" s="5">
        <v>94</v>
      </c>
      <c r="B95" s="6">
        <v>37.56</v>
      </c>
      <c r="C95" s="6">
        <v>34.49</v>
      </c>
      <c r="D95" s="6">
        <v>45.24</v>
      </c>
      <c r="E95" s="6">
        <v>48.65</v>
      </c>
      <c r="F95" s="6">
        <v>49.17</v>
      </c>
      <c r="G95" s="6">
        <v>40.299999999999997</v>
      </c>
      <c r="H95" s="6">
        <v>37.72</v>
      </c>
      <c r="I95" s="6">
        <v>51.03</v>
      </c>
      <c r="J95" s="6">
        <v>37.81</v>
      </c>
      <c r="K95" s="6">
        <v>41.19</v>
      </c>
      <c r="L95" s="6">
        <v>46.66</v>
      </c>
      <c r="M95" s="6">
        <v>38.94</v>
      </c>
      <c r="N95" s="6">
        <v>35.26</v>
      </c>
      <c r="O95" s="6">
        <v>44.13</v>
      </c>
      <c r="P95" s="6">
        <v>48.33</v>
      </c>
      <c r="Q95" s="6">
        <v>50.52</v>
      </c>
      <c r="R95" s="6">
        <v>41.33</v>
      </c>
      <c r="S95" s="6">
        <v>39.44</v>
      </c>
      <c r="T95" s="6">
        <v>48.67</v>
      </c>
      <c r="U95" s="6">
        <v>36.729999999999997</v>
      </c>
      <c r="V95" s="6">
        <v>39.880000000000003</v>
      </c>
      <c r="W95" s="6">
        <v>47.88</v>
      </c>
      <c r="X95" s="6">
        <v>35.53</v>
      </c>
      <c r="Y95" s="6">
        <v>34.08</v>
      </c>
      <c r="Z95" s="6">
        <v>43.46</v>
      </c>
      <c r="AA95" s="6">
        <v>46.48</v>
      </c>
      <c r="AB95" s="6">
        <v>47.71</v>
      </c>
      <c r="AC95" s="6">
        <v>40.67</v>
      </c>
      <c r="AD95" s="6">
        <v>38.01</v>
      </c>
      <c r="AE95" s="6">
        <v>48.07</v>
      </c>
      <c r="AF95" s="6">
        <v>37.119999999999997</v>
      </c>
      <c r="AG95" s="6">
        <v>39.729999999999997</v>
      </c>
      <c r="AH95" s="6">
        <v>47.03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6">
        <v>0</v>
      </c>
      <c r="BP95">
        <f t="shared" si="1"/>
        <v>35.338661616161566</v>
      </c>
      <c r="BQ95" s="12">
        <v>0.86111111111111116</v>
      </c>
    </row>
    <row r="96" spans="1:69" ht="17.5" thickBot="1" x14ac:dyDescent="0.5">
      <c r="A96" s="5">
        <v>95</v>
      </c>
      <c r="B96" s="6">
        <v>38.94</v>
      </c>
      <c r="C96" s="6">
        <v>35.26</v>
      </c>
      <c r="D96" s="6">
        <v>44.13</v>
      </c>
      <c r="E96" s="6">
        <v>48.33</v>
      </c>
      <c r="F96" s="6">
        <v>50.52</v>
      </c>
      <c r="G96" s="6">
        <v>41.33</v>
      </c>
      <c r="H96" s="6">
        <v>39.44</v>
      </c>
      <c r="I96" s="6">
        <v>48.67</v>
      </c>
      <c r="J96" s="6">
        <v>36.729999999999997</v>
      </c>
      <c r="K96" s="6">
        <v>39.880000000000003</v>
      </c>
      <c r="L96" s="6">
        <v>47.88</v>
      </c>
      <c r="M96" s="6">
        <v>35.53</v>
      </c>
      <c r="N96" s="6">
        <v>34.08</v>
      </c>
      <c r="O96" s="6">
        <v>43.46</v>
      </c>
      <c r="P96" s="6">
        <v>46.48</v>
      </c>
      <c r="Q96" s="6">
        <v>47.71</v>
      </c>
      <c r="R96" s="6">
        <v>40.67</v>
      </c>
      <c r="S96" s="6">
        <v>38.01</v>
      </c>
      <c r="T96" s="6">
        <v>48.07</v>
      </c>
      <c r="U96" s="6">
        <v>37.119999999999997</v>
      </c>
      <c r="V96" s="6">
        <v>39.729999999999997</v>
      </c>
      <c r="W96" s="6">
        <v>47.03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>
        <f t="shared" si="1"/>
        <v>30.609722222222189</v>
      </c>
      <c r="BQ96" s="12">
        <v>0.86805555555555547</v>
      </c>
    </row>
    <row r="97" spans="1:69" ht="17.5" thickBot="1" x14ac:dyDescent="0.5">
      <c r="A97" s="5">
        <v>96</v>
      </c>
      <c r="B97" s="6">
        <v>35.53</v>
      </c>
      <c r="C97" s="6">
        <v>34.08</v>
      </c>
      <c r="D97" s="6">
        <v>43.46</v>
      </c>
      <c r="E97" s="6">
        <v>46.48</v>
      </c>
      <c r="F97" s="6">
        <v>47.71</v>
      </c>
      <c r="G97" s="6">
        <v>40.67</v>
      </c>
      <c r="H97" s="6">
        <v>38.01</v>
      </c>
      <c r="I97" s="6">
        <v>48.07</v>
      </c>
      <c r="J97" s="6">
        <v>37.119999999999997</v>
      </c>
      <c r="K97" s="6">
        <v>39.729999999999997</v>
      </c>
      <c r="L97" s="6">
        <v>47.03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>
        <f t="shared" si="1"/>
        <v>24.664444444444431</v>
      </c>
      <c r="BQ97" s="12">
        <v>0.875</v>
      </c>
    </row>
    <row r="98" spans="1:69" ht="24" customHeight="1" x14ac:dyDescent="0.45">
      <c r="A98" s="10" t="s">
        <v>158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요일별로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KOTI</dc:creator>
  <cp:lastModifiedBy>KOTI</cp:lastModifiedBy>
  <dcterms:created xsi:type="dcterms:W3CDTF">2020-09-11T01:02:56Z</dcterms:created>
  <dcterms:modified xsi:type="dcterms:W3CDTF">2020-09-16T08:49:26Z</dcterms:modified>
</cp:coreProperties>
</file>